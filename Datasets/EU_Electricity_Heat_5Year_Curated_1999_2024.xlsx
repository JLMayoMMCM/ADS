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93a79a01d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43586148b144c92"/>
    <x:sheet xmlns:r="http://schemas.openxmlformats.org/officeDocument/2006/relationships" name="EU27 Electricity (GEP)" sheetId="2" r:id="Rcb9659e39eaf4855"/>
    <x:sheet xmlns:r="http://schemas.openxmlformats.org/officeDocument/2006/relationships" name="EU27 Heat (GHP)" sheetId="3" r:id="R1becde1fe1a94a70"/>
    <x:sheet xmlns:r="http://schemas.openxmlformats.org/officeDocument/2006/relationships" name="Country 5yr Elec" sheetId="4" r:id="Rbbff6fd4dc3c4d9d"/>
    <x:sheet xmlns:r="http://schemas.openxmlformats.org/officeDocument/2006/relationships" name="Country 5yr Heat" sheetId="5" r:id="R8ca46d29d51c430a"/>
    <x:sheet xmlns:r="http://schemas.openxmlformats.org/officeDocument/2006/relationships" name="Fuel Mix % GEP" sheetId="6" r:id="R22b798a91b63424e"/>
    <x:sheet xmlns:r="http://schemas.openxmlformats.org/officeDocument/2006/relationships" name="Trend Analysis" sheetId="7" r:id="Ra7a4ffcbe458459a"/>
    <x:sheet xmlns:r="http://schemas.openxmlformats.org/officeDocument/2006/relationships" name="Fuel Codes" sheetId="8" r:id="Rdcc076c6b6a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-#,##0.0;-"/>
    <x:numFmt numFmtId="201" formatCode="0.0%;[Red]-0.0%;-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0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i/>
      <x:sz val="10"/>
      <x:color rgb="FF003B70"/>
      <x:name val="Carlito"/>
    </x:font>
    <x:font>
      <x:i/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color rgb="FF003B7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3B70"/>
      </x:patternFill>
    </x:fill>
    <x:fill>
      <x:patternFill patternType="solid">
        <x:fgColor rgb="FF0057A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006100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5" fillId="0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6" fillId="2" borderId="1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2" borderId="0" xfId="0" applyNumberFormat="1" applyFont="1" applyFill="1" applyBorder="1"/>
    <x:xf numFmtId="200" fontId="6" fillId="2" borderId="0" xfId="0" applyNumberFormat="1" applyFont="1" applyFill="1" applyBorder="1"/>
    <x:xf numFmtId="200" fontId="5" fillId="2" borderId="1" xfId="0" applyNumberFormat="1" applyFont="1" applyFill="1" applyBorder="1"/>
    <x:xf numFmtId="200" fontId="6" fillId="2" borderId="1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5" fillId="7" borderId="1" xfId="0" applyNumberFormat="1" applyFont="1" applyFill="1" applyBorder="1"/>
    <x:xf numFmtId="200" fontId="5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0" fontId="10" fillId="2" borderId="0" xfId="0" applyNumberFormat="1" applyFont="1" applyFill="1" applyBorder="1"/>
    <x:xf numFmtId="200" fontId="10" fillId="2" borderId="0" xfId="0" applyNumberFormat="1" applyFont="1" applyFill="1" applyBorder="1"/>
    <x:xf numFmtId="200" fontId="0" fillId="2" borderId="1" xfId="0" applyNumberFormat="1" applyFont="1" applyFill="1" applyBorder="1"/>
    <x:xf numFmtId="0" fontId="10" fillId="2" borderId="1" xfId="0" applyNumberFormat="1" applyFont="1" applyFill="1" applyBorder="1"/>
    <x:xf numFmtId="200" fontId="10" fillId="2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10" fillId="6" borderId="0" xfId="0" applyNumberFormat="1" applyFont="1" applyFill="1" applyBorder="1"/>
    <x:xf numFmtId="201" fontId="1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10" fillId="6" borderId="1" xfId="0" applyNumberFormat="1" applyFont="1" applyFill="1" applyBorder="1"/>
    <x:xf numFmtId="201" fontId="10" fillId="6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0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7f3e6a76e472b" /><Relationship Type="http://schemas.openxmlformats.org/officeDocument/2006/relationships/theme" Target="/xl/theme/theme1.xml" Id="R874286bc1b7244fd" /><Relationship Type="http://schemas.openxmlformats.org/officeDocument/2006/relationships/sharedStrings" Target="/xl/sharedStrings.xml" Id="Rba03320302554770" /><Relationship Type="http://schemas.openxmlformats.org/officeDocument/2006/relationships/worksheet" Target="/xl/worksheets/sheet1.xml" Id="R443586148b144c92" /><Relationship Type="http://schemas.openxmlformats.org/officeDocument/2006/relationships/worksheet" Target="/xl/worksheets/sheet2.xml" Id="Rcb9659e39eaf4855" /><Relationship Type="http://schemas.openxmlformats.org/officeDocument/2006/relationships/worksheet" Target="/xl/worksheets/sheet3.xml" Id="R1becde1fe1a94a70" /><Relationship Type="http://schemas.openxmlformats.org/officeDocument/2006/relationships/worksheet" Target="/xl/worksheets/sheet4.xml" Id="Rbbff6fd4dc3c4d9d" /><Relationship Type="http://schemas.openxmlformats.org/officeDocument/2006/relationships/worksheet" Target="/xl/worksheets/sheet5.xml" Id="R8ca46d29d51c430a" /><Relationship Type="http://schemas.openxmlformats.org/officeDocument/2006/relationships/worksheet" Target="/xl/worksheets/sheet6.xml" Id="R22b798a91b63424e" /><Relationship Type="http://schemas.openxmlformats.org/officeDocument/2006/relationships/worksheet" Target="/xl/worksheets/sheet7.xml" Id="Ra7a4ffcbe458459a" /><Relationship Type="http://schemas.openxmlformats.org/officeDocument/2006/relationships/worksheet" Target="/xl/worksheets/sheet8.xml" Id="Rdcc076c6b6a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8ad891ae2443b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TOTAL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Analysis'!$B$4:$G$4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Nuclear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Analysis'!$B$5:$G$5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Natural Gas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Analysis'!$B$6:$G$6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Solid Fossil Fuels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Analysis'!$B$7:$G$7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Renewables &amp; Biofuels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Analysis'!$B$8:$G$8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Wind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Analysis'!$B$9:$G$9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Solar Photovoltaic</c:v>
          </c:tx>
          <c:cat>
            <c:strRef>
              <c:f>'Trend Analysis'!$B$3:$G$3</c:f>
              <c:strCache>
                <c:ptCount val="0"/>
              </c:strCache>
            </c:strRef>
          </c:cat>
          <c:val>
            <c:numRef>
              <c:f>'Trend Analysis'!$B$10:$G$10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8ad891ae2443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eac02912db442e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EU ELECTRICITY &amp; DERIVED HEAT PRODUCTION</x:v>
      </x:c>
    </x:row>
    <x:row r="2" ht="24" customHeight="1">
      <x:c r="A2" s="13" t="str">
        <x:v>By Type of Fuel - Curated 5-Year Interval (1999-2024)</x:v>
      </x:c>
    </x:row>
    <x:row r="4">
      <x:c r="A4" s="40" t="str">
        <x:v>Source</x:v>
      </x:c>
      <x:c r="B4" s="41" t="str">
        <x:v>Eurostat nrg_bal_peh - Production of electricity and derived heat by type of fuel</x:v>
      </x:c>
    </x:row>
    <x:row r="5">
      <x:c r="A5" s="40" t="str">
        <x:v>Source URL</x:v>
      </x:c>
      <x:c r="B5" s="41" t="str">
        <x:v>https://ec.europa.eu/eurostat/databrowser/product/page/NRG_BAL_PEH</x:v>
      </x:c>
    </x:row>
    <x:row r="6">
      <x:c r="A6" s="40" t="str">
        <x:v>Input file</x:v>
      </x:c>
      <x:c r="B6" s="41" t="str">
        <x:v>estat_nrg_bal_peh.tsv</x:v>
      </x:c>
    </x:row>
    <x:row r="7">
      <x:c r="A7" s="40" t="str">
        <x:v>Coverage</x:v>
      </x:c>
      <x:c r="B7" s="41" t="str">
        <x:v>EU-27 Member States plus EU27_2020 aggregate</x:v>
      </x:c>
    </x:row>
    <x:row r="8">
      <x:c r="A8" s="40" t="str">
        <x:v>Unit</x:v>
      </x:c>
      <x:c r="B8" s="41" t="str">
        <x:v>GWH (gigawatt-hours)</x:v>
      </x:c>
    </x:row>
    <x:row r="9">
      <x:c r="A9" s="40" t="str">
        <x:v>Time Span</x:v>
      </x:c>
      <x:c r="B9" s="41" t="str">
        <x:v>5-year interval columns from 1999 to 2024</x:v>
      </x:c>
    </x:row>
    <x:row r="10">
      <x:c r="A10" s="42" t="str">
        <x:v>Energy Balance</x:v>
      </x:c>
      <x:c r="B10" s="42" t="str">
        <x:v>Gross Electricity Production (GEP) and Gross Heat Production (GHP)</x:v>
      </x:c>
    </x:row>
    <x:row r="11">
      <x:c r="A11" s="40" t="str">
        <x:v>Revision</x:v>
      </x:c>
      <x:c r="B11" s="41" t="str">
        <x:v>Created from uploaded full Eurostat TSV; curated to 5-year interval years from 1999 to 2024</x:v>
      </x:c>
    </x:row>
    <x:row r="12">
      <x:c r="A12" s="40" t="str"/>
      <x:c r="B12" s="41" t="str"/>
    </x:row>
    <x:row r="13">
      <x:c r="A13" s="43" t="str">
        <x:v>Workbook Contents</x:v>
      </x:c>
      <x:c r="B13" s="44" t="str"/>
    </x:row>
    <x:row r="14">
      <x:c r="A14" s="43" t="str">
        <x:v>EU27 Electricity (GEP)</x:v>
      </x:c>
      <x:c r="B14" s="44" t="str">
        <x:v>EU-27 gross electricity production by fuel for curated 5-year interval years</x:v>
      </x:c>
    </x:row>
    <x:row r="15">
      <x:c r="A15" s="43" t="str">
        <x:v>EU27 Heat (GHP)</x:v>
      </x:c>
      <x:c r="B15" s="44" t="str">
        <x:v>EU-27 gross heat production by fuel for curated 5-year interval years</x:v>
      </x:c>
    </x:row>
    <x:row r="16">
      <x:c r="A16" s="43" t="str">
        <x:v>Country 5yr Elec</x:v>
      </x:c>
      <x:c r="B16" s="44" t="str">
        <x:v>Curated interval country total GEP for all EU-27 countries plus 2024 fuel breakdown</x:v>
      </x:c>
    </x:row>
    <x:row r="17">
      <x:c r="A17" s="43" t="str">
        <x:v>Country 5yr Heat</x:v>
      </x:c>
      <x:c r="B17" s="44" t="str">
        <x:v>Curated interval country total GHP for all EU-27 countries plus 2024 fuel breakdown</x:v>
      </x:c>
    </x:row>
    <x:row r="18">
      <x:c r="A18" s="43" t="str">
        <x:v>Fuel Mix % GEP</x:v>
      </x:c>
      <x:c r="B18" s="44" t="str">
        <x:v>Formula-based annual share of each fuel in EU-27 gross electricity production</x:v>
      </x:c>
    </x:row>
    <x:row r="19">
      <x:c r="A19" s="43" t="str">
        <x:v>Trend Analysis</x:v>
      </x:c>
      <x:c r="B19" s="44" t="str">
        <x:v>Annual GEP trend and growth-vs-base formulas for key fuels</x:v>
      </x:c>
    </x:row>
    <x:row r="20">
      <x:c r="A20" s="43" t="str">
        <x:v>Fuel Codes</x:v>
      </x:c>
      <x:c r="B20" s="44" t="str">
        <x:v>SIEC code mapping and notes used in this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</x:cols>
  <x:sheetData>
    <x:row r="1" ht="24" customHeight="1">
      <x:c r="A1" s="52" t="str">
        <x:v>EU-27 | Gross Electricity Production by Fuel Type | Curated 5-Year Interval 1999-2024</x:v>
      </x:c>
    </x:row>
    <x:row r="2" ht="20" customHeight="1">
      <x:c r="A2" s="59" t="str">
        <x:v>EU-27 (2020 def.) | Unit: GWH | Source: Eurostat nrg_bal_peh | 5-year interval from uploaded TSV</x:v>
      </x:c>
    </x:row>
    <x:row r="3" ht="22" customHeight="1">
      <x:c r="A3" s="67" t="str">
        <x:v>Fuel / Energy Source</x:v>
      </x:c>
      <x:c r="B3" s="67" t="n">
        <x:v>1999</x:v>
      </x:c>
      <x:c r="C3" s="67" t="n">
        <x:v>2004</x:v>
      </x:c>
      <x:c r="D3" s="67" t="n">
        <x:v>2009</x:v>
      </x:c>
      <x:c r="E3" s="67" t="n">
        <x:v>2014</x:v>
      </x:c>
      <x:c r="F3" s="67" t="n">
        <x:v>2019</x:v>
      </x:c>
      <x:c r="G3" s="67" t="n">
        <x:v>2024</x:v>
      </x:c>
    </x:row>
    <x:row r="4">
      <x:c r="A4" s="36" t="str">
        <x:v>TOTAL</x:v>
      </x:c>
      <x:c r="B4" s="75" t="n">
        <x:v>2543035.099</x:v>
      </x:c>
      <x:c r="C4" s="75" t="n">
        <x:v>2862929.675</x:v>
      </x:c>
      <x:c r="D4" s="75" t="n">
        <x:v>2796287.94</x:v>
      </x:c>
      <x:c r="E4" s="75" t="n">
        <x:v>2808998.431</x:v>
      </x:c>
      <x:c r="F4" s="75" t="n">
        <x:v>2854627.207</x:v>
      </x:c>
      <x:c r="G4" s="75" t="n">
        <x:v>2777644.955</x:v>
      </x:c>
    </x:row>
    <x:row r="5">
      <x:c r="A5" s="86" t="str">
        <x:v>Nuclear</x:v>
      </x:c>
      <x:c r="B5" s="87" t="n">
        <x:v>848251</x:v>
      </x:c>
      <x:c r="C5" s="87" t="n">
        <x:v>928438</x:v>
      </x:c>
      <x:c r="D5" s="87" t="n">
        <x:v>824912</x:v>
      </x:c>
      <x:c r="E5" s="87" t="n">
        <x:v>812550.009</x:v>
      </x:c>
      <x:c r="F5" s="87" t="n">
        <x:v>765337.856</x:v>
      </x:c>
      <x:c r="G5" s="87" t="n">
        <x:v>649545.843</x:v>
      </x:c>
    </x:row>
    <x:row r="6">
      <x:c r="A6" s="27" t="str">
        <x:v>Natural Gas</x:v>
      </x:c>
      <x:c r="B6" s="72" t="n">
        <x:v>305799</x:v>
      </x:c>
      <x:c r="C6" s="72" t="n">
        <x:v>448198.257</x:v>
      </x:c>
      <x:c r="D6" s="72" t="n">
        <x:v>551046.795</x:v>
      </x:c>
      <x:c r="E6" s="72" t="n">
        <x:v>350182.579</x:v>
      </x:c>
      <x:c r="F6" s="72" t="n">
        <x:v>552035.55</x:v>
      </x:c>
      <x:c r="G6" s="72" t="n">
        <x:v>437554.914</x:v>
      </x:c>
    </x:row>
    <x:row r="7">
      <x:c r="A7" s="86" t="str">
        <x:v>Solid Fossil Fuels</x:v>
      </x:c>
      <x:c r="B7" s="87" t="n">
        <x:v>743721</x:v>
      </x:c>
      <x:c r="C7" s="87" t="n">
        <x:v>820713</x:v>
      </x:c>
      <x:c r="D7" s="87" t="n">
        <x:v>690678.826</x:v>
      </x:c>
      <x:c r="E7" s="87" t="n">
        <x:v>680816.867</x:v>
      </x:c>
      <x:c r="F7" s="87" t="n">
        <x:v>445379.092</x:v>
      </x:c>
      <x:c r="G7" s="87" t="n">
        <x:v>271891.735</x:v>
      </x:c>
    </x:row>
    <x:row r="8">
      <x:c r="A8" s="27" t="str">
        <x:v>Lignite</x:v>
      </x:c>
      <x:c r="B8" s="72" t="n">
        <x:v>318413</x:v>
      </x:c>
      <x:c r="C8" s="72" t="n">
        <x:v>349221</x:v>
      </x:c>
      <x:c r="D8" s="72" t="n">
        <x:v>318172</x:v>
      </x:c>
      <x:c r="E8" s="72" t="n">
        <x:v>315467</x:v>
      </x:c>
      <x:c r="F8" s="72" t="n">
        <x:v>241438.576</x:v>
      </x:c>
      <x:c r="G8" s="72" t="n">
        <x:v>165024.045</x:v>
      </x:c>
    </x:row>
    <x:row r="9">
      <x:c r="A9" s="86" t="str">
        <x:v>Oil &amp; Petroleum excl. Biofuels</x:v>
      </x:c>
      <x:c r="B9" s="87" t="n">
        <x:v>185564</x:v>
      </x:c>
      <x:c r="C9" s="87" t="n">
        <x:v>137954.672</x:v>
      </x:c>
      <x:c r="D9" s="87" t="n">
        <x:v>89654.013</x:v>
      </x:c>
      <x:c r="E9" s="87" t="n">
        <x:v>59159.278</x:v>
      </x:c>
      <x:c r="F9" s="87" t="n">
        <x:v>50708.872</x:v>
      </x:c>
      <x:c r="G9" s="87" t="n">
        <x:v>44588.526</x:v>
      </x:c>
    </x:row>
    <x:row r="10">
      <x:c r="A10" s="80" t="str">
        <x:v>Renewables &amp; Biofuels</x:v>
      </x:c>
      <x:c r="B10" s="81" t="n">
        <x:v>377735.66</x:v>
      </x:c>
      <x:c r="C10" s="81" t="n">
        <x:v>427881.439</x:v>
      </x:c>
      <x:c r="D10" s="81" t="n">
        <x:v>552626.275</x:v>
      </x:c>
      <x:c r="E10" s="81" t="n">
        <x:v>806508.476</x:v>
      </x:c>
      <x:c r="F10" s="81" t="n">
        <x:v>951345.115</x:v>
      </x:c>
      <x:c r="G10" s="81" t="n">
        <x:v>1292159.024</x:v>
      </x:c>
    </x:row>
    <x:row r="11">
      <x:c r="A11" s="86" t="str">
        <x:v>Hydro</x:v>
      </x:c>
      <x:c r="B11" s="87" t="n">
        <x:v>333568.948</x:v>
      </x:c>
      <x:c r="C11" s="87" t="n">
        <x:v>313339.79</x:v>
      </x:c>
      <x:c r="D11" s="87" t="n">
        <x:v>320715.071</x:v>
      </x:c>
      <x:c r="E11" s="87" t="n">
        <x:v>354480.298</x:v>
      </x:c>
      <x:c r="F11" s="87" t="n">
        <x:v>311440.777</x:v>
      </x:c>
      <x:c r="G11" s="87" t="n">
        <x:v>354766.694</x:v>
      </x:c>
    </x:row>
    <x:row r="12">
      <x:c r="A12" s="27" t="str">
        <x:v>Wind</x:v>
      </x:c>
      <x:c r="B12" s="72" t="n">
        <x:v>13232.739</x:v>
      </x:c>
      <x:c r="C12" s="72" t="n">
        <x:v>56721.227</x:v>
      </x:c>
      <x:c r="D12" s="72" t="n">
        <x:v>117028.012</x:v>
      </x:c>
      <x:c r="E12" s="72" t="n">
        <x:v>210683.731</x:v>
      </x:c>
      <x:c r="F12" s="72" t="n">
        <x:v>354353.143</x:v>
      </x:c>
      <x:c r="G12" s="72" t="n">
        <x:v>475618.535</x:v>
      </x:c>
    </x:row>
    <x:row r="13">
      <x:c r="A13" s="86" t="str">
        <x:v>Solar Thermal</x:v>
      </x:c>
      <x:c r="B13" s="87" t="n">
        <x:v>0</x:v>
      </x:c>
      <x:c r="C13" s="87" t="n">
        <x:v>0</x:v>
      </x:c>
      <x:c r="D13" s="87" t="n">
        <x:v>103</x:v>
      </x:c>
      <x:c r="E13" s="87" t="n">
        <x:v>5454.806</x:v>
      </x:c>
      <x:c r="F13" s="87" t="n">
        <x:v>5683</x:v>
      </x:c>
      <x:c r="G13" s="87" t="n">
        <x:v>4540.03</x:v>
      </x:c>
    </x:row>
    <x:row r="14">
      <x:c r="A14" s="27" t="str">
        <x:v>Solar Photovoltaic</x:v>
      </x:c>
      <x:c r="B14" s="72" t="n">
        <x:v>85.961</x:v>
      </x:c>
      <x:c r="C14" s="72" t="n">
        <x:v>687.913</x:v>
      </x:c>
      <x:c r="D14" s="72" t="n">
        <x:v>13840.981</x:v>
      </x:c>
      <x:c r="E14" s="72" t="n">
        <x:v>88089.918</x:v>
      </x:c>
      <x:c r="F14" s="72" t="n">
        <x:v>116528.136</x:v>
      </x:c>
      <x:c r="G14" s="72" t="n">
        <x:v>296888.859</x:v>
      </x:c>
    </x:row>
    <x:row r="15">
      <x:c r="A15" s="86" t="str">
        <x:v>Bioenergy</x:v>
      </x:c>
      <x:c r="B15" s="87"/>
      <x:c r="C15" s="87"/>
      <x:c r="D15" s="87"/>
      <x:c r="E15" s="87"/>
      <x:c r="F15" s="87"/>
      <x:c r="G15" s="87"/>
    </x:row>
    <x:row r="16">
      <x:c r="A16" s="27" t="str">
        <x:v>Waste</x:v>
      </x:c>
      <x:c r="B16" s="72" t="n">
        <x:v>10332.861</x:v>
      </x:c>
      <x:c r="C16" s="72" t="n">
        <x:v>10265.637</x:v>
      </x:c>
      <x:c r="D16" s="72" t="n">
        <x:v>15670.041</x:v>
      </x:c>
      <x:c r="E16" s="72" t="n">
        <x:v>19079.184</x:v>
      </x:c>
      <x:c r="F16" s="72" t="n">
        <x:v>21258.055</x:v>
      </x:c>
      <x:c r="G16" s="72" t="n">
        <x:v>19789.176</x:v>
      </x:c>
    </x:row>
    <x:row r="17">
      <x:c r="A17" s="86" t="str">
        <x:v>Batteries</x:v>
      </x:c>
      <x:c r="B17" s="87" t="n">
        <x:v>0</x:v>
      </x:c>
      <x:c r="C17" s="87" t="n">
        <x:v>0</x:v>
      </x:c>
      <x:c r="D17" s="87" t="n">
        <x:v>0</x:v>
      </x:c>
      <x:c r="E17" s="87" t="n">
        <x:v>0</x:v>
      </x:c>
      <x:c r="F17" s="87" t="n">
        <x:v>0</x:v>
      </x:c>
      <x:c r="G17" s="87" t="n">
        <x:v>1040.335</x:v>
      </x:c>
    </x:row>
    <x:row r="19">
      <x:c r="A19" s="91" t="str">
        <x:v>Note: Values are numeric GWH. Zero values display as "-". Blank cells indicate unavailable series in the TSV. Solar thermal and solar photovoltaic are separated to match Eurostat SIEC labels.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</x:cols>
  <x:sheetData>
    <x:row r="1" ht="24" customHeight="1">
      <x:c r="A1" s="52" t="str">
        <x:v>EU-27 | Gross Heat Production by Fuel Type | Curated 5-Year Interval 1999-2024</x:v>
      </x:c>
    </x:row>
    <x:row r="2" ht="20" customHeight="1">
      <x:c r="A2" s="59" t="str">
        <x:v>EU-27 (2020 def.) | Unit: GWH | Source: Eurostat nrg_bal_peh | 5-year interval from uploaded TSV</x:v>
      </x:c>
    </x:row>
    <x:row r="3" ht="22" customHeight="1">
      <x:c r="A3" s="67" t="str">
        <x:v>Fuel / Energy Source</x:v>
      </x:c>
      <x:c r="B3" s="67" t="n">
        <x:v>1999</x:v>
      </x:c>
      <x:c r="C3" s="67" t="n">
        <x:v>2004</x:v>
      </x:c>
      <x:c r="D3" s="67" t="n">
        <x:v>2009</x:v>
      </x:c>
      <x:c r="E3" s="67" t="n">
        <x:v>2014</x:v>
      </x:c>
      <x:c r="F3" s="67" t="n">
        <x:v>2019</x:v>
      </x:c>
      <x:c r="G3" s="67" t="n">
        <x:v>2024</x:v>
      </x:c>
    </x:row>
    <x:row r="4">
      <x:c r="A4" s="36" t="str">
        <x:v>TOTAL</x:v>
      </x:c>
      <x:c r="B4" s="75" t="n">
        <x:v>585209.722</x:v>
      </x:c>
      <x:c r="C4" s="75" t="n">
        <x:v>708635.421</x:v>
      </x:c>
      <x:c r="D4" s="75" t="n">
        <x:v>662952.722</x:v>
      </x:c>
      <x:c r="E4" s="75" t="n">
        <x:v>632090.859</x:v>
      </x:c>
      <x:c r="F4" s="75" t="n">
        <x:v>645600.383</x:v>
      </x:c>
      <x:c r="G4" s="75" t="n">
        <x:v>561184.202</x:v>
      </x:c>
    </x:row>
    <x:row r="5">
      <x:c r="A5" s="86" t="str">
        <x:v>Nuclear</x:v>
      </x:c>
      <x:c r="B5" s="87" t="n">
        <x:v>950.277</x:v>
      </x:c>
      <x:c r="C5" s="87" t="n">
        <x:v>1816.388</x:v>
      </x:c>
      <x:c r="D5" s="87" t="n">
        <x:v>1853.333</x:v>
      </x:c>
      <x:c r="E5" s="87" t="n">
        <x:v>1124.444</x:v>
      </x:c>
      <x:c r="F5" s="87" t="n">
        <x:v>1105.548</x:v>
      </x:c>
      <x:c r="G5" s="87" t="n">
        <x:v>1152.759</x:v>
      </x:c>
    </x:row>
    <x:row r="6">
      <x:c r="A6" s="27" t="str">
        <x:v>Natural Gas</x:v>
      </x:c>
      <x:c r="B6" s="72" t="n">
        <x:v>190233.057</x:v>
      </x:c>
      <x:c r="C6" s="72" t="n">
        <x:v>299872.744</x:v>
      </x:c>
      <x:c r="D6" s="72" t="n">
        <x:v>265930.2</x:v>
      </x:c>
      <x:c r="E6" s="72" t="n">
        <x:v>220726.464</x:v>
      </x:c>
      <x:c r="F6" s="72" t="n">
        <x:v>218119.525</x:v>
      </x:c>
      <x:c r="G6" s="72" t="n">
        <x:v>180821.409</x:v>
      </x:c>
    </x:row>
    <x:row r="7">
      <x:c r="A7" s="86" t="str">
        <x:v>Solid Fossil Fuels</x:v>
      </x:c>
      <x:c r="B7" s="87" t="n">
        <x:v>226114.722</x:v>
      </x:c>
      <x:c r="C7" s="87" t="n">
        <x:v>212948.61</x:v>
      </x:c>
      <x:c r="D7" s="87" t="n">
        <x:v>187893.251</x:v>
      </x:c>
      <x:c r="E7" s="87" t="n">
        <x:v>163371.855</x:v>
      </x:c>
      <x:c r="F7" s="87" t="n">
        <x:v>135354.763</x:v>
      </x:c>
      <x:c r="G7" s="87" t="n">
        <x:v>83698.848</x:v>
      </x:c>
    </x:row>
    <x:row r="8">
      <x:c r="A8" s="27" t="str">
        <x:v>Lignite</x:v>
      </x:c>
      <x:c r="B8" s="72" t="n">
        <x:v>61798.333</x:v>
      </x:c>
      <x:c r="C8" s="72" t="n">
        <x:v>40227.501</x:v>
      </x:c>
      <x:c r="D8" s="72" t="n">
        <x:v>35973.057</x:v>
      </x:c>
      <x:c r="E8" s="72" t="n">
        <x:v>34178.333</x:v>
      </x:c>
      <x:c r="F8" s="72" t="n">
        <x:v>26312.761</x:v>
      </x:c>
      <x:c r="G8" s="72" t="n">
        <x:v>18050.139</x:v>
      </x:c>
    </x:row>
    <x:row r="9">
      <x:c r="A9" s="86" t="str">
        <x:v>Oil &amp; Petroleum excl. Biofuels</x:v>
      </x:c>
      <x:c r="B9" s="87" t="n">
        <x:v>74789.719</x:v>
      </x:c>
      <x:c r="C9" s="87" t="n">
        <x:v>65160.551</x:v>
      </x:c>
      <x:c r="D9" s="87" t="n">
        <x:v>48364.496</x:v>
      </x:c>
      <x:c r="E9" s="87" t="n">
        <x:v>29259.725</x:v>
      </x:c>
      <x:c r="F9" s="87" t="n">
        <x:v>21090.849</x:v>
      </x:c>
      <x:c r="G9" s="87" t="n">
        <x:v>13524.413</x:v>
      </x:c>
    </x:row>
    <x:row r="10">
      <x:c r="A10" s="80" t="str">
        <x:v>Renewables &amp; Biofuels</x:v>
      </x:c>
      <x:c r="B10" s="81" t="n">
        <x:v>49904.168</x:v>
      </x:c>
      <x:c r="C10" s="81" t="n">
        <x:v>71545.684</x:v>
      </x:c>
      <x:c r="D10" s="81" t="n">
        <x:v>98778.122</x:v>
      </x:c>
      <x:c r="E10" s="81" t="n">
        <x:v>151239.665</x:v>
      </x:c>
      <x:c r="F10" s="81" t="n">
        <x:v>187836.54</x:v>
      </x:c>
      <x:c r="G10" s="81" t="n">
        <x:v>195897.126</x:v>
      </x:c>
    </x:row>
    <x:row r="11">
      <x:c r="A11" s="86" t="str">
        <x:v>Hydro</x:v>
      </x:c>
      <x:c r="B11" s="87"/>
      <x:c r="C11" s="87"/>
      <x:c r="D11" s="87"/>
      <x:c r="E11" s="87"/>
      <x:c r="F11" s="87"/>
      <x:c r="G11" s="87"/>
    </x:row>
    <x:row r="12">
      <x:c r="A12" s="27" t="str">
        <x:v>Wind</x:v>
      </x:c>
      <x:c r="B12" s="72"/>
      <x:c r="C12" s="72"/>
      <x:c r="D12" s="72"/>
      <x:c r="E12" s="72"/>
      <x:c r="F12" s="72"/>
      <x:c r="G12" s="72"/>
    </x:row>
    <x:row r="13">
      <x:c r="A13" s="86" t="str">
        <x:v>Solar Thermal</x:v>
      </x:c>
      <x:c r="B13" s="87" t="n">
        <x:v>6.389</x:v>
      </x:c>
      <x:c r="C13" s="87" t="n">
        <x:v>14.167</x:v>
      </x:c>
      <x:c r="D13" s="87" t="n">
        <x:v>45.612</x:v>
      </x:c>
      <x:c r="E13" s="87" t="n">
        <x:v>230.459</x:v>
      </x:c>
      <x:c r="F13" s="87" t="n">
        <x:v>683.821</x:v>
      </x:c>
      <x:c r="G13" s="87" t="n">
        <x:v>736.777</x:v>
      </x:c>
    </x:row>
    <x:row r="14">
      <x:c r="A14" s="27" t="str">
        <x:v>Solar Photovoltaic</x:v>
      </x:c>
      <x:c r="B14" s="72"/>
      <x:c r="C14" s="72"/>
      <x:c r="D14" s="72"/>
      <x:c r="E14" s="72"/>
      <x:c r="F14" s="72"/>
      <x:c r="G14" s="72"/>
    </x:row>
    <x:row r="15">
      <x:c r="A15" s="86" t="str">
        <x:v>Bioenergy</x:v>
      </x:c>
      <x:c r="B15" s="87"/>
      <x:c r="C15" s="87"/>
      <x:c r="D15" s="87"/>
      <x:c r="E15" s="87"/>
      <x:c r="F15" s="87"/>
      <x:c r="G15" s="87"/>
    </x:row>
    <x:row r="16">
      <x:c r="A16" s="27" t="str">
        <x:v>Waste</x:v>
      </x:c>
      <x:c r="B16" s="72" t="n">
        <x:v>14448.056</x:v>
      </x:c>
      <x:c r="C16" s="72" t="n">
        <x:v>17031.944</x:v>
      </x:c>
      <x:c r="D16" s="72" t="n">
        <x:v>23309.495</x:v>
      </x:c>
      <x:c r="E16" s="72" t="n">
        <x:v>29068.54</x:v>
      </x:c>
      <x:c r="F16" s="72" t="n">
        <x:v>36281.812</x:v>
      </x:c>
      <x:c r="G16" s="72" t="n">
        <x:v>39437.953</x:v>
      </x:c>
    </x:row>
    <x:row r="17">
      <x:c r="A17" s="86" t="str">
        <x:v>Batteries</x:v>
      </x:c>
      <x:c r="B17" s="87"/>
      <x:c r="C17" s="87"/>
      <x:c r="D17" s="87"/>
      <x:c r="E17" s="87"/>
      <x:c r="F17" s="87"/>
      <x:c r="G17" s="87"/>
    </x:row>
    <x:row r="19">
      <x:c r="A19" s="91" t="str">
        <x:v>Note: Values are numeric GWH. Zero values display as "-". Blank cells indicate unavailable series in the TSV. Solar thermal and solar photovoltaic are separated to match Eurostat SIEC labels.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4" customHeight="1">
      <x:c r="A1" s="52" t="str">
        <x:v>Country Curated | Gross Electricity Production | 5-Year Interval 1999-2024</x:v>
      </x:c>
    </x:row>
    <x:row r="2" ht="20" customHeight="1">
      <x:c r="A2" s="59" t="str">
        <x:v>Curated interval total production plus 2024 fuel breakdown | Unit: GWH | Source: Eurostat nrg_bal_peh</x:v>
      </x:c>
    </x:row>
    <x:row r="3" ht="22" customHeight="1">
      <x:c r="A3" s="96" t="str">
        <x:v>Country</x:v>
      </x:c>
      <x:c r="B3" s="96" t="n">
        <x:v>1999</x:v>
      </x:c>
      <x:c r="C3" s="96" t="n">
        <x:v>2004</x:v>
      </x:c>
      <x:c r="D3" s="96" t="n">
        <x:v>2009</x:v>
      </x:c>
      <x:c r="E3" s="96" t="n">
        <x:v>2014</x:v>
      </x:c>
      <x:c r="F3" s="96" t="n">
        <x:v>2019</x:v>
      </x:c>
      <x:c r="G3" s="96" t="n">
        <x:v>2024</x:v>
      </x:c>
      <x:c r="H3" s="112" t="str"/>
      <x:c r="I3" s="96" t="str">
        <x:v>2024 fuel breakdown</x:v>
      </x:c>
      <x:c r="J3" s="96" t="str"/>
      <x:c r="K3" s="96" t="str"/>
      <x:c r="L3" s="96" t="str"/>
      <x:c r="M3" s="96" t="str"/>
      <x:c r="N3" s="96" t="str"/>
      <x:c r="O3" s="96" t="str"/>
      <x:c r="P3" s="96" t="str"/>
      <x:c r="Q3" s="96" t="str"/>
      <x:c r="R3" s="96" t="str"/>
      <x:c r="S3" s="96" t="str"/>
      <x:c r="T3" s="96" t="str"/>
      <x:c r="U3" s="96" t="str"/>
    </x:row>
    <x:row r="4" ht="22" customHeight="1">
      <x:c r="A4" s="96" t="str"/>
      <x:c r="B4" s="96" t="str">
        <x:v>TOTAL</x:v>
      </x:c>
      <x:c r="C4" s="96" t="str">
        <x:v>TOTAL</x:v>
      </x:c>
      <x:c r="D4" s="96" t="str">
        <x:v>TOTAL</x:v>
      </x:c>
      <x:c r="E4" s="96" t="str">
        <x:v>TOTAL</x:v>
      </x:c>
      <x:c r="F4" s="96" t="str">
        <x:v>TOTAL</x:v>
      </x:c>
      <x:c r="G4" s="96" t="str">
        <x:v>TOTAL</x:v>
      </x:c>
      <x:c r="H4" s="112" t="str"/>
      <x:c r="I4" s="96" t="str">
        <x:v>Nuclear</x:v>
      </x:c>
      <x:c r="J4" s="96" t="str">
        <x:v>Natural Gas</x:v>
      </x:c>
      <x:c r="K4" s="96" t="str">
        <x:v>Solid Fossil Fuels</x:v>
      </x:c>
      <x:c r="L4" s="96" t="str">
        <x:v>Lignite</x:v>
      </x:c>
      <x:c r="M4" s="96" t="str">
        <x:v>Oil &amp; Petroleum excl. Biofuels</x:v>
      </x:c>
      <x:c r="N4" s="96" t="str">
        <x:v>Renewables &amp; Biofuels</x:v>
      </x:c>
      <x:c r="O4" s="96" t="str">
        <x:v>Hydro</x:v>
      </x:c>
      <x:c r="P4" s="96" t="str">
        <x:v>Wind</x:v>
      </x:c>
      <x:c r="Q4" s="96" t="str">
        <x:v>Solar Thermal</x:v>
      </x:c>
      <x:c r="R4" s="96" t="str">
        <x:v>Solar Photovoltaic</x:v>
      </x:c>
      <x:c r="S4" s="96" t="str">
        <x:v>Bioenergy</x:v>
      </x:c>
      <x:c r="T4" s="96" t="str">
        <x:v>Waste</x:v>
      </x:c>
      <x:c r="U4" s="96" t="str">
        <x:v>Batteries</x:v>
      </x:c>
    </x:row>
    <x:row r="5">
      <x:c r="A5" s="103" t="str">
        <x:v>EU-27 (2020 def.)</x:v>
      </x:c>
      <x:c r="B5" s="104" t="n">
        <x:v>2543035.099</x:v>
      </x:c>
      <x:c r="C5" s="104" t="n">
        <x:v>2862929.675</x:v>
      </x:c>
      <x:c r="D5" s="104" t="n">
        <x:v>2796287.94</x:v>
      </x:c>
      <x:c r="E5" s="104" t="n">
        <x:v>2808998.431</x:v>
      </x:c>
      <x:c r="F5" s="104" t="n">
        <x:v>2854627.207</x:v>
      </x:c>
      <x:c r="G5" s="104" t="n">
        <x:v>2777644.955</x:v>
      </x:c>
      <x:c r="H5" s="113" t="str"/>
      <x:c r="I5" s="104" t="n">
        <x:v>649545.843</x:v>
      </x:c>
      <x:c r="J5" s="104" t="n">
        <x:v>437554.914</x:v>
      </x:c>
      <x:c r="K5" s="104" t="n">
        <x:v>271891.735</x:v>
      </x:c>
      <x:c r="L5" s="104" t="n">
        <x:v>165024.045</x:v>
      </x:c>
      <x:c r="M5" s="104" t="n">
        <x:v>44588.526</x:v>
      </x:c>
      <x:c r="N5" s="104" t="n">
        <x:v>1292159.024</x:v>
      </x:c>
      <x:c r="O5" s="104" t="n">
        <x:v>354766.694</x:v>
      </x:c>
      <x:c r="P5" s="104" t="n">
        <x:v>475618.535</x:v>
      </x:c>
      <x:c r="Q5" s="104" t="n">
        <x:v>4540.03</x:v>
      </x:c>
      <x:c r="R5" s="104" t="n">
        <x:v>296888.859</x:v>
      </x:c>
      <x:c r="S5" s="104"/>
      <x:c r="T5" s="104" t="n">
        <x:v>19789.176</x:v>
      </x:c>
      <x:c r="U5" s="104" t="n">
        <x:v>1040.335</x:v>
      </x:c>
    </x:row>
    <x:row r="6">
      <x:c r="A6" t="str">
        <x:v>Austria</x:v>
      </x:c>
      <x:c r="B6" s="100" t="n">
        <x:v>60944.018</x:v>
      </x:c>
      <x:c r="C6" s="100" t="n">
        <x:v>64154.047</x:v>
      </x:c>
      <x:c r="D6" s="100" t="n">
        <x:v>69087.512</x:v>
      </x:c>
      <x:c r="E6" s="100" t="n">
        <x:v>65438.872</x:v>
      </x:c>
      <x:c r="F6" s="100" t="n">
        <x:v>74234.304</x:v>
      </x:c>
      <x:c r="G6" s="100" t="n">
        <x:v>82406.732</x:v>
      </x:c>
      <x:c r="H6" s="56" t="str"/>
      <x:c r="I6" s="100" t="n">
        <x:v>0</x:v>
      </x:c>
      <x:c r="J6" s="100" t="n">
        <x:v>7536.924</x:v>
      </x:c>
      <x:c r="K6" s="100" t="n">
        <x:v>23.648</x:v>
      </x:c>
      <x:c r="L6" s="100" t="n">
        <x:v>0</x:v>
      </x:c>
      <x:c r="M6" s="100" t="n">
        <x:v>718.878</x:v>
      </x:c>
      <x:c r="N6" s="100" t="n">
        <x:v>67778.709</x:v>
      </x:c>
      <x:c r="O6" s="100" t="n">
        <x:v>45707.084</x:v>
      </x:c>
      <x:c r="P6" s="100" t="n">
        <x:v>9257.422</x:v>
      </x:c>
      <x:c r="Q6" s="100" t="n">
        <x:v>0</x:v>
      </x:c>
      <x:c r="R6" s="100" t="n">
        <x:v>8143.267</x:v>
      </x:c>
      <x:c r="S6" s="100" t="n">
        <x:v>4683.261</x:v>
      </x:c>
      <x:c r="T6" s="100" t="n">
        <x:v>755.105</x:v>
      </x:c>
      <x:c r="U6" s="100" t="n">
        <x:v>4.269</x:v>
      </x:c>
    </x:row>
    <x:row r="7">
      <x:c r="A7" s="108" t="str">
        <x:v>Belgium</x:v>
      </x:c>
      <x:c r="B7" s="109" t="n">
        <x:v>84514</x:v>
      </x:c>
      <x:c r="C7" s="109" t="n">
        <x:v>84210.123</x:v>
      </x:c>
      <x:c r="D7" s="109" t="n">
        <x:v>91184.317</x:v>
      </x:c>
      <x:c r="E7" s="109" t="n">
        <x:v>72545.6</x:v>
      </x:c>
      <x:c r="F7" s="109" t="n">
        <x:v>93644.295</x:v>
      </x:c>
      <x:c r="G7" s="109" t="n">
        <x:v>77156.8</x:v>
      </x:c>
      <x:c r="H7" s="56" t="str"/>
      <x:c r="I7" s="109" t="n">
        <x:v>31254.6</x:v>
      </x:c>
      <x:c r="J7" s="109" t="n">
        <x:v>14159.5</x:v>
      </x:c>
      <x:c r="K7" s="109" t="n">
        <x:v>12.7</x:v>
      </x:c>
      <x:c r="L7" s="109" t="n">
        <x:v>0</x:v>
      </x:c>
      <x:c r="M7" s="109" t="n">
        <x:v>198.2</x:v>
      </x:c>
      <x:c r="N7" s="109" t="n">
        <x:v>26537.9</x:v>
      </x:c>
      <x:c r="O7" s="109" t="n">
        <x:v>545.7</x:v>
      </x:c>
      <x:c r="P7" s="109" t="n">
        <x:v>13824.5</x:v>
      </x:c>
      <x:c r="Q7" s="109" t="n">
        <x:v>0</x:v>
      </x:c>
      <x:c r="R7" s="109" t="n">
        <x:v>8562.1</x:v>
      </x:c>
      <x:c r="S7" s="109" t="n">
        <x:v>3628.483</x:v>
      </x:c>
      <x:c r="T7" s="109" t="n">
        <x:v>1213.7</x:v>
      </x:c>
      <x:c r="U7" s="109" t="n">
        <x:v>155.5</x:v>
      </x:c>
    </x:row>
    <x:row r="8">
      <x:c r="A8" t="str">
        <x:v>Bulgaria</x:v>
      </x:c>
      <x:c r="B8" s="100" t="n">
        <x:v>38248</x:v>
      </x:c>
      <x:c r="C8" s="100" t="n">
        <x:v>41620.811</x:v>
      </x:c>
      <x:c r="D8" s="100" t="n">
        <x:v>42963.39</x:v>
      </x:c>
      <x:c r="E8" s="100" t="n">
        <x:v>47489.649</x:v>
      </x:c>
      <x:c r="F8" s="100" t="n">
        <x:v>44276.591</x:v>
      </x:c>
      <x:c r="G8" s="100" t="n">
        <x:v>38535.175</x:v>
      </x:c>
      <x:c r="H8" s="56" t="str"/>
      <x:c r="I8" s="100" t="n">
        <x:v>15777.075</x:v>
      </x:c>
      <x:c r="J8" s="100" t="n">
        <x:v>2040.441</x:v>
      </x:c>
      <x:c r="K8" s="100" t="n">
        <x:v>8758.02</x:v>
      </x:c>
      <x:c r="L8" s="100" t="n">
        <x:v>8164.495</x:v>
      </x:c>
      <x:c r="M8" s="100" t="n">
        <x:v>361.542</x:v>
      </x:c>
      <x:c r="N8" s="100" t="n">
        <x:v>11369.751</x:v>
      </x:c>
      <x:c r="O8" s="100" t="n">
        <x:v>2787.148</x:v>
      </x:c>
      <x:c r="P8" s="100" t="n">
        <x:v>1377.086</x:v>
      </x:c>
      <x:c r="Q8" s="100" t="n">
        <x:v>0</x:v>
      </x:c>
      <x:c r="R8" s="100" t="n">
        <x:v>5489.148</x:v>
      </x:c>
      <x:c r="S8" s="100" t="n">
        <x:v>1716.369</x:v>
      </x:c>
      <x:c r="T8" s="100" t="n">
        <x:v>22.596</x:v>
      </x:c>
      <x:c r="U8" s="100" t="n">
        <x:v>28.338</x:v>
      </x:c>
    </x:row>
    <x:row r="9">
      <x:c r="A9" s="108" t="str">
        <x:v>Cyprus</x:v>
      </x:c>
      <x:c r="B9" s="109" t="n">
        <x:v>3139</x:v>
      </x:c>
      <x:c r="C9" s="109" t="n">
        <x:v>4201.807</x:v>
      </x:c>
      <x:c r="D9" s="109" t="n">
        <x:v>5214.708</x:v>
      </x:c>
      <x:c r="E9" s="109" t="n">
        <x:v>4349.922</x:v>
      </x:c>
      <x:c r="F9" s="109" t="n">
        <x:v>5141.491</x:v>
      </x:c>
      <x:c r="G9" s="109" t="n">
        <x:v>5763.191</x:v>
      </x:c>
      <x:c r="H9" s="56" t="str"/>
      <x:c r="I9" s="109" t="n">
        <x:v>0</x:v>
      </x:c>
      <x:c r="J9" s="109" t="n">
        <x:v>0</x:v>
      </x:c>
      <x:c r="K9" s="109" t="n">
        <x:v>0</x:v>
      </x:c>
      <x:c r="L9" s="109" t="n">
        <x:v>0</x:v>
      </x:c>
      <x:c r="M9" s="109" t="n">
        <x:v>4396.769</x:v>
      </x:c>
      <x:c r="N9" s="109" t="n">
        <x:v>1366.422</x:v>
      </x:c>
      <x:c r="O9" s="109" t="n">
        <x:v>0</x:v>
      </x:c>
      <x:c r="P9" s="109" t="n">
        <x:v>202.649</x:v>
      </x:c>
      <x:c r="Q9" s="109" t="n">
        <x:v>0</x:v>
      </x:c>
      <x:c r="R9" s="109" t="n">
        <x:v>1108.457</x:v>
      </x:c>
      <x:c r="S9" s="109" t="n">
        <x:v>55.316</x:v>
      </x:c>
      <x:c r="T9" s="109" t="n">
        <x:v>0</x:v>
      </x:c>
      <x:c r="U9" s="109" t="n">
        <x:v>0</x:v>
      </x:c>
    </x:row>
    <x:row r="10">
      <x:c r="A10" t="str">
        <x:v>Czechia</x:v>
      </x:c>
      <x:c r="B10" s="100" t="n">
        <x:v>64694.232</x:v>
      </x:c>
      <x:c r="C10" s="100" t="n">
        <x:v>84334.903</x:v>
      </x:c>
      <x:c r="D10" s="100" t="n">
        <x:v>82185.712</x:v>
      </x:c>
      <x:c r="E10" s="100" t="n">
        <x:v>86147.804</x:v>
      </x:c>
      <x:c r="F10" s="100" t="n">
        <x:v>87035.182</x:v>
      </x:c>
      <x:c r="G10" s="100" t="n">
        <x:v>73900.393</x:v>
      </x:c>
      <x:c r="H10" s="56" t="str"/>
      <x:c r="I10" s="100" t="n">
        <x:v>29696.397</x:v>
      </x:c>
      <x:c r="J10" s="100" t="n">
        <x:v>3772.025</x:v>
      </x:c>
      <x:c r="K10" s="100" t="n">
        <x:v>26525.9</x:v>
      </x:c>
      <x:c r="L10" s="100" t="n">
        <x:v>25161.546</x:v>
      </x:c>
      <x:c r="M10" s="100" t="n">
        <x:v>73.451</x:v>
      </x:c>
      <x:c r="N10" s="100" t="n">
        <x:v>12347.563</x:v>
      </x:c>
      <x:c r="O10" s="100" t="n">
        <x:v>2662.82</x:v>
      </x:c>
      <x:c r="P10" s="100" t="n">
        <x:v>716.81</x:v>
      </x:c>
      <x:c r="Q10" s="100" t="n">
        <x:v>0</x:v>
      </x:c>
      <x:c r="R10" s="100" t="n">
        <x:v>3592.683</x:v>
      </x:c>
      <x:c r="S10" s="100" t="n">
        <x:v>5378.914</x:v>
      </x:c>
      <x:c r="T10" s="100" t="n">
        <x:v>152.98</x:v>
      </x:c>
      <x:c r="U10" s="100" t="n">
        <x:v>9.155</x:v>
      </x:c>
    </x:row>
    <x:row r="11">
      <x:c r="A11" s="108" t="str">
        <x:v>Germany</x:v>
      </x:c>
      <x:c r="B11" s="109" t="n">
        <x:v>556300</x:v>
      </x:c>
      <x:c r="C11" s="109" t="n">
        <x:v>618069</x:v>
      </x:c>
      <x:c r="D11" s="109" t="n">
        <x:v>596470</x:v>
      </x:c>
      <x:c r="E11" s="109" t="n">
        <x:v>627806</x:v>
      </x:c>
      <x:c r="F11" s="109" t="n">
        <x:v>606917</x:v>
      </x:c>
      <x:c r="G11" s="109" t="n">
        <x:v>514009</x:v>
      </x:c>
      <x:c r="H11" s="56" t="str"/>
      <x:c r="I11" s="109" t="n">
        <x:v>0</x:v>
      </x:c>
      <x:c r="J11" s="109" t="n">
        <x:v>90487</x:v>
      </x:c>
      <x:c r="K11" s="109" t="n">
        <x:v>106333</x:v>
      </x:c>
      <x:c r="L11" s="109" t="n">
        <x:v>78504</x:v>
      </x:c>
      <x:c r="M11" s="109" t="n">
        <x:v>4547</x:v>
      </x:c>
      <x:c r="N11" s="109" t="n">
        <x:v>289417</x:v>
      </x:c>
      <x:c r="O11" s="109" t="n">
        <x:v>23825</x:v>
      </x:c>
      <x:c r="P11" s="109" t="n">
        <x:v>138914</x:v>
      </x:c>
      <x:c r="Q11" s="109" t="n">
        <x:v>0</x:v>
      </x:c>
      <x:c r="R11" s="109" t="n">
        <x:v>75379</x:v>
      </x:c>
      <x:c r="S11" s="109" t="n">
        <x:v>52447.991</x:v>
      </x:c>
      <x:c r="T11" s="109" t="n">
        <x:v>6160</x:v>
      </x:c>
      <x:c r="U11" s="109" t="n">
        <x:v>220</x:v>
      </x:c>
    </x:row>
    <x:row r="12">
      <x:c r="A12" t="str">
        <x:v>Denmark</x:v>
      </x:c>
      <x:c r="B12" s="100" t="n">
        <x:v>38920</x:v>
      </x:c>
      <x:c r="C12" s="100" t="n">
        <x:v>40430</x:v>
      </x:c>
      <x:c r="D12" s="100" t="n">
        <x:v>36383</x:v>
      </x:c>
      <x:c r="E12" s="100" t="n">
        <x:v>32183.62</x:v>
      </x:c>
      <x:c r="F12" s="100" t="n">
        <x:v>29516.955</x:v>
      </x:c>
      <x:c r="G12" s="100" t="n">
        <x:v>35317.578</x:v>
      </x:c>
      <x:c r="H12" s="56" t="str"/>
      <x:c r="I12" s="100" t="n">
        <x:v>0</x:v>
      </x:c>
      <x:c r="J12" s="100" t="n">
        <x:v>909.403</x:v>
      </x:c>
      <x:c r="K12" s="100" t="n">
        <x:v>1750.661</x:v>
      </x:c>
      <x:c r="L12" s="100" t="n">
        <x:v>0</x:v>
      </x:c>
      <x:c r="M12" s="100" t="n">
        <x:v>223.475</x:v>
      </x:c>
      <x:c r="N12" s="100" t="n">
        <x:v>31408.963</x:v>
      </x:c>
      <x:c r="O12" s="100" t="n">
        <x:v>22.562</x:v>
      </x:c>
      <x:c r="P12" s="100" t="n">
        <x:v>20552.836</x:v>
      </x:c>
      <x:c r="Q12" s="100" t="n">
        <x:v>0</x:v>
      </x:c>
      <x:c r="R12" s="100" t="n">
        <x:v>3776.202</x:v>
      </x:c>
      <x:c r="S12" s="100" t="n">
        <x:v>7335.198</x:v>
      </x:c>
      <x:c r="T12" s="100" t="n">
        <x:v>1025.077</x:v>
      </x:c>
      <x:c r="U12" s="100" t="n">
        <x:v>0</x:v>
      </x:c>
    </x:row>
    <x:row r="13">
      <x:c r="A13" s="108" t="str">
        <x:v>Estonia</x:v>
      </x:c>
      <x:c r="B13" s="109" t="n">
        <x:v>8278</x:v>
      </x:c>
      <x:c r="C13" s="109" t="n">
        <x:v>10304</x:v>
      </x:c>
      <x:c r="D13" s="109" t="n">
        <x:v>8778.32</x:v>
      </x:c>
      <x:c r="E13" s="109" t="n">
        <x:v>12445.714</x:v>
      </x:c>
      <x:c r="F13" s="109" t="n">
        <x:v>7615.265</x:v>
      </x:c>
      <x:c r="G13" s="109" t="n">
        <x:v>6367.833</x:v>
      </x:c>
      <x:c r="H13" s="56" t="str"/>
      <x:c r="I13" s="109" t="n">
        <x:v>0</x:v>
      </x:c>
      <x:c r="J13" s="109" t="n">
        <x:v>77.284</x:v>
      </x:c>
      <x:c r="K13" s="109" t="n">
        <x:v>0.052</x:v>
      </x:c>
      <x:c r="L13" s="109" t="n">
        <x:v>0</x:v>
      </x:c>
      <x:c r="M13" s="109" t="n">
        <x:v>26.103</x:v>
      </x:c>
      <x:c r="N13" s="109" t="n">
        <x:v>3597.019</x:v>
      </x:c>
      <x:c r="O13" s="109" t="n">
        <x:v>30.045</x:v>
      </x:c>
      <x:c r="P13" s="109" t="n">
        <x:v>1166.079</x:v>
      </x:c>
      <x:c r="Q13" s="109" t="n">
        <x:v>0</x:v>
      </x:c>
      <x:c r="R13" s="109" t="n">
        <x:v>1065.427</x:v>
      </x:c>
      <x:c r="S13" s="109" t="n">
        <x:v>1337.312</x:v>
      </x:c>
      <x:c r="T13" s="109" t="n">
        <x:v>95.288</x:v>
      </x:c>
      <x:c r="U13" s="109" t="n">
        <x:v>0</x:v>
      </x:c>
    </x:row>
    <x:row r="14">
      <x:c r="A14" t="str">
        <x:v>Greece</x:v>
      </x:c>
      <x:c r="B14" s="100" t="n">
        <x:v>49632</x:v>
      </x:c>
      <x:c r="C14" s="100" t="n">
        <x:v>59345.781</x:v>
      </x:c>
      <x:c r="D14" s="100" t="n">
        <x:v>61340.348</x:v>
      </x:c>
      <x:c r="E14" s="100" t="n">
        <x:v>50473.29</x:v>
      </x:c>
      <x:c r="F14" s="100" t="n">
        <x:v>48625.991</x:v>
      </x:c>
      <x:c r="G14" s="100" t="n">
        <x:v>57924.399</x:v>
      </x:c>
      <x:c r="H14" s="56" t="str"/>
      <x:c r="I14" s="100" t="n">
        <x:v>0</x:v>
      </x:c>
      <x:c r="J14" s="100" t="n">
        <x:v>21529.23</x:v>
      </x:c>
      <x:c r="K14" s="100" t="n">
        <x:v>3269.523</x:v>
      </x:c>
      <x:c r="L14" s="100" t="n">
        <x:v>3269.523</x:v>
      </x:c>
      <x:c r="M14" s="100" t="n">
        <x:v>4894.99</x:v>
      </x:c>
      <x:c r="N14" s="100" t="n">
        <x:v>27691.068</x:v>
      </x:c>
      <x:c r="O14" s="100" t="n">
        <x:v>3581.68</x:v>
      </x:c>
      <x:c r="P14" s="100" t="n">
        <x:v>12136.202</x:v>
      </x:c>
      <x:c r="Q14" s="100" t="n">
        <x:v>0</x:v>
      </x:c>
      <x:c r="R14" s="100" t="n">
        <x:v>11258.411</x:v>
      </x:c>
      <x:c r="S14" s="100" t="n">
        <x:v>714.775</x:v>
      </x:c>
      <x:c r="T14" s="100" t="n">
        <x:v>53.69</x:v>
      </x:c>
      <x:c r="U14" s="100" t="n">
        <x:v>0</x:v>
      </x:c>
    </x:row>
    <x:row r="15">
      <x:c r="A15" s="108" t="str">
        <x:v>Spain</x:v>
      </x:c>
      <x:c r="B15" s="109" t="n">
        <x:v>208247</x:v>
      </x:c>
      <x:c r="C15" s="109" t="n">
        <x:v>279974.38</x:v>
      </x:c>
      <x:c r="D15" s="109" t="n">
        <x:v>294620</x:v>
      </x:c>
      <x:c r="E15" s="109" t="n">
        <x:v>278749.282</x:v>
      </x:c>
      <x:c r="F15" s="109" t="n">
        <x:v>273257</x:v>
      </x:c>
      <x:c r="G15" s="109" t="n">
        <x:v>287914.758</x:v>
      </x:c>
      <x:c r="H15" s="56" t="str"/>
      <x:c r="I15" s="109" t="n">
        <x:v>54532.38</x:v>
      </x:c>
      <x:c r="J15" s="109" t="n">
        <x:v>52329.097</x:v>
      </x:c>
      <x:c r="K15" s="109" t="n">
        <x:v>2581.517</x:v>
      </x:c>
      <x:c r="L15" s="109" t="n">
        <x:v>0</x:v>
      </x:c>
      <x:c r="M15" s="109" t="n">
        <x:v>9123.644</x:v>
      </x:c>
      <x:c r="N15" s="109" t="n">
        <x:v>160970.969</x:v>
      </x:c>
      <x:c r="O15" s="109" t="n">
        <x:v>34414.726</x:v>
      </x:c>
      <x:c r="P15" s="109" t="n">
        <x:v>62089.787</x:v>
      </x:c>
      <x:c r="Q15" s="109" t="n">
        <x:v>4540.03</x:v>
      </x:c>
      <x:c r="R15" s="109" t="n">
        <x:v>53752.44</x:v>
      </x:c>
      <x:c r="S15" s="109" t="n">
        <x:v>6218.202</x:v>
      </x:c>
      <x:c r="T15" s="109" t="n">
        <x:v>840.265</x:v>
      </x:c>
      <x:c r="U15" s="109" t="n">
        <x:v>8.266</x:v>
      </x:c>
    </x:row>
    <x:row r="16">
      <x:c r="A16" t="str">
        <x:v>Finland</x:v>
      </x:c>
      <x:c r="B16" s="100" t="n">
        <x:v>69457.417</x:v>
      </x:c>
      <x:c r="C16" s="100" t="n">
        <x:v>85845.372</x:v>
      </x:c>
      <x:c r="D16" s="100" t="n">
        <x:v>72070.997</x:v>
      </x:c>
      <x:c r="E16" s="100" t="n">
        <x:v>68093.524</x:v>
      </x:c>
      <x:c r="F16" s="100" t="n">
        <x:v>68650.852</x:v>
      </x:c>
      <x:c r="G16" s="100" t="n">
        <x:v>83152.987</x:v>
      </x:c>
      <x:c r="H16" s="56" t="str"/>
      <x:c r="I16" s="100" t="n">
        <x:v>32599</x:v>
      </x:c>
      <x:c r="J16" s="100" t="n">
        <x:v>782</x:v>
      </x:c>
      <x:c r="K16" s="100" t="n">
        <x:v>830</x:v>
      </x:c>
      <x:c r="L16" s="100" t="n">
        <x:v>0</x:v>
      </x:c>
      <x:c r="M16" s="100" t="n">
        <x:v>241</x:v>
      </x:c>
      <x:c r="N16" s="100" t="n">
        <x:v>46673.256</x:v>
      </x:c>
      <x:c r="O16" s="100" t="n">
        <x:v>14299.241</x:v>
      </x:c>
      <x:c r="P16" s="100" t="n">
        <x:v>21046.257</x:v>
      </x:c>
      <x:c r="Q16" s="100" t="n">
        <x:v>0</x:v>
      </x:c>
      <x:c r="R16" s="100" t="n">
        <x:v>939.941</x:v>
      </x:c>
      <x:c r="S16" s="100" t="n">
        <x:v>10394.304</x:v>
      </x:c>
      <x:c r="T16" s="100" t="n">
        <x:v>444.731</x:v>
      </x:c>
      <x:c r="U16" s="100" t="n">
        <x:v>30</x:v>
      </x:c>
    </x:row>
    <x:row r="17">
      <x:c r="A17" s="108" t="str">
        <x:v>France</x:v>
      </x:c>
      <x:c r="B17" s="109" t="n">
        <x:v>525806.227</x:v>
      </x:c>
      <x:c r="C17" s="109" t="n">
        <x:v>574054.409</x:v>
      </x:c>
      <x:c r="D17" s="109" t="n">
        <x:v>535925.135</x:v>
      </x:c>
      <x:c r="E17" s="109" t="n">
        <x:v>572983.975</x:v>
      </x:c>
      <x:c r="F17" s="109" t="n">
        <x:v>571316.327</x:v>
      </x:c>
      <x:c r="G17" s="109" t="n">
        <x:v>570904.315</x:v>
      </x:c>
      <x:c r="H17" s="56" t="str"/>
      <x:c r="I17" s="109" t="n">
        <x:v>380451.093</x:v>
      </x:c>
      <x:c r="J17" s="109" t="n">
        <x:v>18104.938</x:v>
      </x:c>
      <x:c r="K17" s="109" t="n">
        <x:v>1020.566</x:v>
      </x:c>
      <x:c r="L17" s="109" t="n">
        <x:v>0</x:v>
      </x:c>
      <x:c r="M17" s="109" t="n">
        <x:v>5580.252</x:v>
      </x:c>
      <x:c r="N17" s="109" t="n">
        <x:v>155682.569</x:v>
      </x:c>
      <x:c r="O17" s="109" t="n">
        <x:v>71115.895</x:v>
      </x:c>
      <x:c r="P17" s="109" t="n">
        <x:v>47499.378</x:v>
      </x:c>
      <x:c r="Q17" s="109" t="n">
        <x:v>0</x:v>
      </x:c>
      <x:c r="R17" s="109" t="n">
        <x:v>25062.942</x:v>
      </x:c>
      <x:c r="S17" s="109" t="n">
        <x:v>12011.735</x:v>
      </x:c>
      <x:c r="T17" s="109" t="n">
        <x:v>2334.228</x:v>
      </x:c>
      <x:c r="U17" s="109" t="n">
        <x:v>105.562</x:v>
      </x:c>
    </x:row>
    <x:row r="18">
      <x:c r="A18" t="str">
        <x:v>Croatia</x:v>
      </x:c>
      <x:c r="B18" s="100" t="n">
        <x:v>12979.4</x:v>
      </x:c>
      <x:c r="C18" s="100" t="n">
        <x:v>13989.7</x:v>
      </x:c>
      <x:c r="D18" s="100" t="n">
        <x:v>13454.061</x:v>
      </x:c>
      <x:c r="E18" s="100" t="n">
        <x:v>13552.842</x:v>
      </x:c>
      <x:c r="F18" s="100" t="n">
        <x:v>12760.3</x:v>
      </x:c>
      <x:c r="G18" s="100" t="n">
        <x:v>15360.4</x:v>
      </x:c>
      <x:c r="H18" s="56" t="str"/>
      <x:c r="I18" s="100" t="n">
        <x:v>0</x:v>
      </x:c>
      <x:c r="J18" s="100" t="n">
        <x:v>3249.9</x:v>
      </x:c>
      <x:c r="K18" s="100" t="n">
        <x:v>801.3</x:v>
      </x:c>
      <x:c r="L18" s="100" t="n">
        <x:v>0</x:v>
      </x:c>
      <x:c r="M18" s="100" t="n">
        <x:v>29.9</x:v>
      </x:c>
      <x:c r="N18" s="100" t="n">
        <x:v>11128</x:v>
      </x:c>
      <x:c r="O18" s="100" t="n">
        <x:v>6727</x:v>
      </x:c>
      <x:c r="P18" s="100" t="n">
        <x:v>2576.6</x:v>
      </x:c>
      <x:c r="Q18" s="100" t="n">
        <x:v>0</x:v>
      </x:c>
      <x:c r="R18" s="100" t="n">
        <x:v>820</x:v>
      </x:c>
      <x:c r="S18" s="100" t="n">
        <x:v>1004.4</x:v>
      </x:c>
      <x:c r="T18" s="100" t="n">
        <x:v>0</x:v>
      </x:c>
      <x:c r="U18" s="100" t="n">
        <x:v>0</x:v>
      </x:c>
    </x:row>
    <x:row r="19">
      <x:c r="A19" s="108" t="str">
        <x:v>Hungary</x:v>
      </x:c>
      <x:c r="B19" s="109" t="n">
        <x:v>37831.621</x:v>
      </x:c>
      <x:c r="C19" s="109" t="n">
        <x:v>33707.385</x:v>
      </x:c>
      <x:c r="D19" s="109" t="n">
        <x:v>35908.015</x:v>
      </x:c>
      <x:c r="E19" s="109" t="n">
        <x:v>29402.943</x:v>
      </x:c>
      <x:c r="F19" s="109" t="n">
        <x:v>34291</x:v>
      </x:c>
      <x:c r="G19" s="109" t="n">
        <x:v>37987.362</x:v>
      </x:c>
      <x:c r="H19" s="56" t="str"/>
      <x:c r="I19" s="109" t="n">
        <x:v>16017</x:v>
      </x:c>
      <x:c r="J19" s="109" t="n">
        <x:v>7126</x:v>
      </x:c>
      <x:c r="K19" s="109" t="n">
        <x:v>2444</x:v>
      </x:c>
      <x:c r="L19" s="109" t="n">
        <x:v>2391</x:v>
      </x:c>
      <x:c r="M19" s="109" t="n">
        <x:v>65.2</x:v>
      </x:c>
      <x:c r="N19" s="109" t="n">
        <x:v>11936.6</x:v>
      </x:c>
      <x:c r="O19" s="109" t="n">
        <x:v>231</x:v>
      </x:c>
      <x:c r="P19" s="109" t="n">
        <x:v>659</x:v>
      </x:c>
      <x:c r="Q19" s="109" t="n">
        <x:v>0</x:v>
      </x:c>
      <x:c r="R19" s="109" t="n">
        <x:v>9200</x:v>
      </x:c>
      <x:c r="S19" s="109" t="n">
        <x:v>1847.053</x:v>
      </x:c>
      <x:c r="T19" s="109" t="n">
        <x:v>262.5</x:v>
      </x:c>
      <x:c r="U19" s="109" t="n">
        <x:v>10.069</x:v>
      </x:c>
    </x:row>
    <x:row r="20">
      <x:c r="A20" t="str">
        <x:v>Ireland</x:v>
      </x:c>
      <x:c r="B20" s="100" t="n">
        <x:v>22013.104</x:v>
      </x:c>
      <x:c r="C20" s="100" t="n">
        <x:v>25579.873</x:v>
      </x:c>
      <x:c r="D20" s="100" t="n">
        <x:v>28371.284</x:v>
      </x:c>
      <x:c r="E20" s="100" t="n">
        <x:v>26170.667</x:v>
      </x:c>
      <x:c r="F20" s="100" t="n">
        <x:v>31121.553</x:v>
      </x:c>
      <x:c r="G20" s="100" t="n">
        <x:v>31492.654</x:v>
      </x:c>
      <x:c r="H20" s="56" t="str"/>
      <x:c r="I20" s="100" t="n">
        <x:v>0</x:v>
      </x:c>
      <x:c r="J20" s="100" t="n">
        <x:v>15095.854</x:v>
      </x:c>
      <x:c r="K20" s="100" t="n">
        <x:v>632.611</x:v>
      </x:c>
      <x:c r="L20" s="100" t="n">
        <x:v>0</x:v>
      </x:c>
      <x:c r="M20" s="100" t="n">
        <x:v>601.711</x:v>
      </x:c>
      <x:c r="N20" s="100" t="n">
        <x:v>14512.163</x:v>
      </x:c>
      <x:c r="O20" s="100" t="n">
        <x:v>766.112</x:v>
      </x:c>
      <x:c r="P20" s="100" t="n">
        <x:v>11649.561</x:v>
      </x:c>
      <x:c r="Q20" s="100" t="n">
        <x:v>0</x:v>
      </x:c>
      <x:c r="R20" s="100" t="n">
        <x:v>1093.092</x:v>
      </x:c>
      <x:c r="S20" s="100" t="n">
        <x:v>1017.656</x:v>
      </x:c>
      <x:c r="T20" s="100" t="n">
        <x:v>290.846</x:v>
      </x:c>
      <x:c r="U20" s="100" t="n">
        <x:v>26.859</x:v>
      </x:c>
    </x:row>
    <x:row r="21">
      <x:c r="A21" s="108" t="str">
        <x:v>Italy</x:v>
      </x:c>
      <x:c r="B21" s="109" t="n">
        <x:v>265667</x:v>
      </x:c>
      <x:c r="C21" s="109" t="n">
        <x:v>303347.441</x:v>
      </x:c>
      <x:c r="D21" s="109" t="n">
        <x:v>292640.98</x:v>
      </x:c>
      <x:c r="E21" s="109" t="n">
        <x:v>279826.504</x:v>
      </x:c>
      <x:c r="F21" s="109" t="n">
        <x:v>293852.993</x:v>
      </x:c>
      <x:c r="G21" s="109" t="n">
        <x:v>271007.173</x:v>
      </x:c>
      <x:c r="H21" s="56" t="str"/>
      <x:c r="I21" s="109" t="n">
        <x:v>0</x:v>
      </x:c>
      <x:c r="J21" s="109" t="n">
        <x:v>118553.746</x:v>
      </x:c>
      <x:c r="K21" s="109" t="n">
        <x:v>3948.434</x:v>
      </x:c>
      <x:c r="L21" s="109" t="n">
        <x:v>0</x:v>
      </x:c>
      <x:c r="M21" s="109" t="n">
        <x:v>8575.928</x:v>
      </x:c>
      <x:c r="N21" s="109" t="n">
        <x:v>134357.398</x:v>
      </x:c>
      <x:c r="O21" s="109" t="n">
        <x:v>53130.8</x:v>
      </x:c>
      <x:c r="P21" s="109" t="n">
        <x:v>22321.895</x:v>
      </x:c>
      <x:c r="Q21" s="109" t="n">
        <x:v>0</x:v>
      </x:c>
      <x:c r="R21" s="109" t="n">
        <x:v>35993.103</x:v>
      </x:c>
      <x:c r="S21" s="109" t="n">
        <x:v>17880.555</x:v>
      </x:c>
      <x:c r="T21" s="109" t="n">
        <x:v>2318.301</x:v>
      </x:c>
      <x:c r="U21" s="109" t="n">
        <x:v>180.133</x:v>
      </x:c>
    </x:row>
    <x:row r="22">
      <x:c r="A22" t="str">
        <x:v>Lithuania</x:v>
      </x:c>
      <x:c r="B22" s="100" t="n">
        <x:v>13536</x:v>
      </x:c>
      <x:c r="C22" s="100" t="n">
        <x:v>19274</x:v>
      </x:c>
      <x:c r="D22" s="100" t="n">
        <x:v>15358</x:v>
      </x:c>
      <x:c r="E22" s="100" t="n">
        <x:v>4397</x:v>
      </x:c>
      <x:c r="F22" s="100" t="n">
        <x:v>3971.6</x:v>
      </x:c>
      <x:c r="G22" s="100" t="n">
        <x:v>8091.9</x:v>
      </x:c>
      <x:c r="H22" s="56" t="str"/>
      <x:c r="I22" s="100" t="n">
        <x:v>0</x:v>
      </x:c>
      <x:c r="J22" s="100" t="n">
        <x:v>843.5</x:v>
      </x:c>
      <x:c r="K22" s="100" t="n">
        <x:v>0</x:v>
      </x:c>
      <x:c r="L22" s="100" t="n">
        <x:v>0</x:v>
      </x:c>
      <x:c r="M22" s="100" t="n">
        <x:v>140.2</x:v>
      </x:c>
      <x:c r="N22" s="100" t="n">
        <x:v>6261</x:v>
      </x:c>
      <x:c r="O22" s="100" t="n">
        <x:v>436.5</x:v>
      </x:c>
      <x:c r="P22" s="100" t="n">
        <x:v>3448.2</x:v>
      </x:c>
      <x:c r="Q22" s="100" t="n">
        <x:v>0</x:v>
      </x:c>
      <x:c r="R22" s="100" t="n">
        <x:v>1397.2</x:v>
      </x:c>
      <x:c r="S22" s="100" t="n">
        <x:v>985.103</x:v>
      </x:c>
      <x:c r="T22" s="100" t="n">
        <x:v>182.5</x:v>
      </x:c>
      <x:c r="U22" s="100" t="n">
        <x:v>1.3</x:v>
      </x:c>
    </x:row>
    <x:row r="23">
      <x:c r="A23" s="108" t="str">
        <x:v>Luxembourg</x:v>
      </x:c>
      <x:c r="B23" s="109" t="n">
        <x:v>1022.008</x:v>
      </x:c>
      <x:c r="C23" s="109" t="n">
        <x:v>4132.15</x:v>
      </x:c>
      <x:c r="D23" s="109" t="n">
        <x:v>3878.379</x:v>
      </x:c>
      <x:c r="E23" s="109" t="n">
        <x:v>2964.981</x:v>
      </x:c>
      <x:c r="F23" s="109" t="n">
        <x:v>1908.422</x:v>
      </x:c>
      <x:c r="G23" s="109" t="n">
        <x:v>2742.34</x:v>
      </x:c>
      <x:c r="H23" s="56" t="str"/>
      <x:c r="I23" s="109" t="n">
        <x:v>0</x:v>
      </x:c>
      <x:c r="J23" s="109" t="n">
        <x:v>65.288</x:v>
      </x:c>
      <x:c r="K23" s="109" t="n">
        <x:v>0</x:v>
      </x:c>
      <x:c r="L23" s="109" t="n">
        <x:v>0</x:v>
      </x:c>
      <x:c r="M23" s="109" t="n">
        <x:v>0.001</x:v>
      </x:c>
      <x:c r="N23" s="109" t="n">
        <x:v>1373.037</x:v>
      </x:c>
      <x:c r="O23" s="109" t="n">
        <x:v>105.181</x:v>
      </x:c>
      <x:c r="P23" s="109" t="n">
        <x:v>466.796</x:v>
      </x:c>
      <x:c r="Q23" s="109" t="n">
        <x:v>0</x:v>
      </x:c>
      <x:c r="R23" s="109" t="n">
        <x:v>359.596</x:v>
      </x:c>
      <x:c r="S23" s="109" t="n">
        <x:v>441.877</x:v>
      </x:c>
      <x:c r="T23" s="109" t="n">
        <x:v>68.374</x:v>
      </x:c>
      <x:c r="U23" s="109" t="n">
        <x:v>0</x:v>
      </x:c>
    </x:row>
    <x:row r="24">
      <x:c r="A24" t="str">
        <x:v>Latvia</x:v>
      </x:c>
      <x:c r="B24" s="100" t="n">
        <x:v>4110.32</x:v>
      </x:c>
      <x:c r="C24" s="100" t="n">
        <x:v>4689.24</x:v>
      </x:c>
      <x:c r="D24" s="100" t="n">
        <x:v>5568.067</x:v>
      </x:c>
      <x:c r="E24" s="100" t="n">
        <x:v>5139.411</x:v>
      </x:c>
      <x:c r="F24" s="100" t="n">
        <x:v>6438.385</x:v>
      </x:c>
      <x:c r="G24" s="100" t="n">
        <x:v>6321.62</x:v>
      </x:c>
      <x:c r="H24" s="56" t="str"/>
      <x:c r="I24" s="100" t="n">
        <x:v>0</x:v>
      </x:c>
      <x:c r="J24" s="100" t="n">
        <x:v>1678.253</x:v>
      </x:c>
      <x:c r="K24" s="100" t="n">
        <x:v>0</x:v>
      </x:c>
      <x:c r="L24" s="100" t="n">
        <x:v>0</x:v>
      </x:c>
      <x:c r="M24" s="100" t="n">
        <x:v>0.916</x:v>
      </x:c>
      <x:c r="N24" s="100" t="n">
        <x:v>4642.451</x:v>
      </x:c>
      <x:c r="O24" s="100" t="n">
        <x:v>3208.793</x:v>
      </x:c>
      <x:c r="P24" s="100" t="n">
        <x:v>275.985</x:v>
      </x:c>
      <x:c r="Q24" s="100" t="n">
        <x:v>0</x:v>
      </x:c>
      <x:c r="R24" s="100" t="n">
        <x:v>536.379</x:v>
      </x:c>
      <x:c r="S24" s="100" t="n">
        <x:v>634.027</x:v>
      </x:c>
      <x:c r="T24" s="100" t="n">
        <x:v>0</x:v>
      </x:c>
      <x:c r="U24" s="100" t="n">
        <x:v>0</x:v>
      </x:c>
    </x:row>
    <x:row r="25">
      <x:c r="A25" s="108" t="str">
        <x:v>Malta</x:v>
      </x:c>
      <x:c r="B25" s="109" t="n">
        <x:v>1854</x:v>
      </x:c>
      <x:c r="C25" s="109" t="n">
        <x:v>2216</x:v>
      </x:c>
      <x:c r="D25" s="109" t="n">
        <x:v>2168</x:v>
      </x:c>
      <x:c r="E25" s="109" t="n">
        <x:v>2244.89</x:v>
      </x:c>
      <x:c r="F25" s="109" t="n">
        <x:v>2059.829</x:v>
      </x:c>
      <x:c r="G25" s="109" t="n">
        <x:v>2185.877</x:v>
      </x:c>
      <x:c r="H25" s="56" t="str"/>
      <x:c r="I25" s="109" t="n">
        <x:v>0</x:v>
      </x:c>
      <x:c r="J25" s="109" t="n">
        <x:v>1841.979</x:v>
      </x:c>
      <x:c r="K25" s="109" t="n">
        <x:v>0</x:v>
      </x:c>
      <x:c r="L25" s="109" t="n">
        <x:v>0</x:v>
      </x:c>
      <x:c r="M25" s="109" t="n">
        <x:v>7.892</x:v>
      </x:c>
      <x:c r="N25" s="109" t="n">
        <x:v>336.006</x:v>
      </x:c>
      <x:c r="O25" s="109" t="n">
        <x:v>0</x:v>
      </x:c>
      <x:c r="P25" s="109" t="n">
        <x:v>0.033</x:v>
      </x:c>
      <x:c r="Q25" s="109" t="n">
        <x:v>0</x:v>
      </x:c>
      <x:c r="R25" s="109" t="n">
        <x:v>326.676</x:v>
      </x:c>
      <x:c r="S25" s="109" t="n">
        <x:v>9.297</x:v>
      </x:c>
      <x:c r="T25" s="109" t="n">
        <x:v>0</x:v>
      </x:c>
      <x:c r="U25" s="109" t="n">
        <x:v>0</x:v>
      </x:c>
    </x:row>
    <x:row r="26">
      <x:c r="A26" t="str">
        <x:v>Netherlands</x:v>
      </x:c>
      <x:c r="B26" s="100" t="n">
        <x:v>86720.436</x:v>
      </x:c>
      <x:c r="C26" s="100" t="n">
        <x:v>101213.681</x:v>
      </x:c>
      <x:c r="D26" s="100" t="n">
        <x:v>113689.499</x:v>
      </x:c>
      <x:c r="E26" s="100" t="n">
        <x:v>103357.364</x:v>
      </x:c>
      <x:c r="F26" s="100" t="n">
        <x:v>121408.002</x:v>
      </x:c>
      <x:c r="G26" s="100" t="n">
        <x:v>123843.947</x:v>
      </x:c>
      <x:c r="H26" s="56" t="str"/>
      <x:c r="I26" s="100" t="n">
        <x:v>3573.592</x:v>
      </x:c>
      <x:c r="J26" s="100" t="n">
        <x:v>44290.586</x:v>
      </x:c>
      <x:c r="K26" s="100" t="n">
        <x:v>7467.01</x:v>
      </x:c>
      <x:c r="L26" s="100" t="n">
        <x:v>0</x:v>
      </x:c>
      <x:c r="M26" s="100" t="n">
        <x:v>1356.217</x:v>
      </x:c>
      <x:c r="N26" s="100" t="n">
        <x:v>62099.275</x:v>
      </x:c>
      <x:c r="O26" s="100" t="n">
        <x:v>85.391</x:v>
      </x:c>
      <x:c r="P26" s="100" t="n">
        <x:v>33509.406</x:v>
      </x:c>
      <x:c r="Q26" s="100" t="n">
        <x:v>0</x:v>
      </x:c>
      <x:c r="R26" s="100" t="n">
        <x:v>21822.202</x:v>
      </x:c>
      <x:c r="S26" s="100" t="n">
        <x:v>7146.322</x:v>
      </x:c>
      <x:c r="T26" s="100" t="n">
        <x:v>1711.475</x:v>
      </x:c>
      <x:c r="U26" s="100" t="n">
        <x:v>182.257</x:v>
      </x:c>
    </x:row>
    <x:row r="27">
      <x:c r="A27" s="108" t="str">
        <x:v>Poland</x:v>
      </x:c>
      <x:c r="B27" s="109" t="n">
        <x:v>142128</x:v>
      </x:c>
      <x:c r="C27" s="109" t="n">
        <x:v>154159.137</x:v>
      </x:c>
      <x:c r="D27" s="109" t="n">
        <x:v>151721.643</x:v>
      </x:c>
      <x:c r="E27" s="109" t="n">
        <x:v>159058.788</x:v>
      </x:c>
      <x:c r="F27" s="109" t="n">
        <x:v>163988.501</x:v>
      </x:c>
      <x:c r="G27" s="109" t="n">
        <x:v>172452.808</x:v>
      </x:c>
      <x:c r="H27" s="56" t="str"/>
      <x:c r="I27" s="109" t="n">
        <x:v>0</x:v>
      </x:c>
      <x:c r="J27" s="109" t="n">
        <x:v>20456.963</x:v>
      </x:c>
      <x:c r="K27" s="109" t="n">
        <x:v>93496.08</x:v>
      </x:c>
      <x:c r="L27" s="109" t="n">
        <x:v>36320.024</x:v>
      </x:c>
      <x:c r="M27" s="109" t="n">
        <x:v>2155.02</x:v>
      </x:c>
      <x:c r="N27" s="109" t="n">
        <x:v>52674.16</x:v>
      </x:c>
      <x:c r="O27" s="109" t="n">
        <x:v>2114.529</x:v>
      </x:c>
      <x:c r="P27" s="109" t="n">
        <x:v>24945.223</x:v>
      </x:c>
      <x:c r="Q27" s="109" t="n">
        <x:v>0</x:v>
      </x:c>
      <x:c r="R27" s="109" t="n">
        <x:v>17662.76</x:v>
      </x:c>
      <x:c r="S27" s="109" t="n">
        <x:v>7951.648</x:v>
      </x:c>
      <x:c r="T27" s="109" t="n">
        <x:v>594.522</x:v>
      </x:c>
      <x:c r="U27" s="109" t="n">
        <x:v>69.107</x:v>
      </x:c>
    </x:row>
    <x:row r="28">
      <x:c r="A28" t="str">
        <x:v>Portugal</x:v>
      </x:c>
      <x:c r="B28" s="100" t="n">
        <x:v>43287</x:v>
      </x:c>
      <x:c r="C28" s="100" t="n">
        <x:v>45105.484</x:v>
      </x:c>
      <x:c r="D28" s="100" t="n">
        <x:v>50207.048</x:v>
      </x:c>
      <x:c r="E28" s="100" t="n">
        <x:v>52803.507</x:v>
      </x:c>
      <x:c r="F28" s="100" t="n">
        <x:v>53154.17</x:v>
      </x:c>
      <x:c r="G28" s="100" t="n">
        <x:v>51089.446</x:v>
      </x:c>
      <x:c r="H28" s="56" t="str"/>
      <x:c r="I28" s="100" t="n">
        <x:v>0</x:v>
      </x:c>
      <x:c r="J28" s="100" t="n">
        <x:v>5634.081</x:v>
      </x:c>
      <x:c r="K28" s="100" t="n">
        <x:v>0</x:v>
      </x:c>
      <x:c r="L28" s="100" t="n">
        <x:v>0</x:v>
      </x:c>
      <x:c r="M28" s="100" t="n">
        <x:v>1145.714</x:v>
      </x:c>
      <x:c r="N28" s="100" t="n">
        <x:v>40353.204</x:v>
      </x:c>
      <x:c r="O28" s="100" t="n">
        <x:v>14892.597</x:v>
      </x:c>
      <x:c r="P28" s="100" t="n">
        <x:v>14418.962</x:v>
      </x:c>
      <x:c r="Q28" s="100" t="n">
        <x:v>0</x:v>
      </x:c>
      <x:c r="R28" s="100" t="n">
        <x:v>7088.01</x:v>
      </x:c>
      <x:c r="S28" s="100" t="n">
        <x:v>3751.734</x:v>
      </x:c>
      <x:c r="T28" s="100" t="n">
        <x:v>254.754</x:v>
      </x:c>
      <x:c r="U28" s="100" t="n">
        <x:v>0.631</x:v>
      </x:c>
    </x:row>
    <x:row r="29">
      <x:c r="A29" s="108" t="str">
        <x:v>Romania</x:v>
      </x:c>
      <x:c r="B29" s="109" t="n">
        <x:v>50464</x:v>
      </x:c>
      <x:c r="C29" s="109" t="n">
        <x:v>56499.053</x:v>
      </x:c>
      <x:c r="D29" s="109" t="n">
        <x:v>58014.149</x:v>
      </x:c>
      <x:c r="E29" s="109" t="n">
        <x:v>65674.622</x:v>
      </x:c>
      <x:c r="F29" s="109" t="n">
        <x:v>59622.805</x:v>
      </x:c>
      <x:c r="G29" s="109" t="n">
        <x:v>53376.025</x:v>
      </x:c>
      <x:c r="H29" s="56" t="str"/>
      <x:c r="I29" s="109" t="n">
        <x:v>10911.981</x:v>
      </x:c>
      <x:c r="J29" s="109" t="n">
        <x:v>9154.497</x:v>
      </x:c>
      <x:c r="K29" s="109" t="n">
        <x:v>7959.655</x:v>
      </x:c>
      <x:c r="L29" s="109" t="n">
        <x:v>7959.655</x:v>
      </x:c>
      <x:c r="M29" s="109" t="n">
        <x:v>573.315</x:v>
      </x:c>
      <x:c r="N29" s="109" t="n">
        <x:v>24442.059</x:v>
      </x:c>
      <x:c r="O29" s="109" t="n">
        <x:v>14192.604</x:v>
      </x:c>
      <x:c r="P29" s="109" t="n">
        <x:v>6350.28</x:v>
      </x:c>
      <x:c r="Q29" s="109" t="n">
        <x:v>0</x:v>
      </x:c>
      <x:c r="R29" s="109" t="n">
        <x:v>3422.688</x:v>
      </x:c>
      <x:c r="S29" s="109" t="n">
        <x:v>476.487</x:v>
      </x:c>
      <x:c r="T29" s="109" t="n">
        <x:v>0.005</x:v>
      </x:c>
      <x:c r="U29" s="109" t="n">
        <x:v>0</x:v>
      </x:c>
    </x:row>
    <x:row r="30">
      <x:c r="A30" t="str">
        <x:v>Sweden</x:v>
      </x:c>
      <x:c r="B30" s="100" t="n">
        <x:v>154860.316</x:v>
      </x:c>
      <x:c r="C30" s="100" t="n">
        <x:v>151739.141</x:v>
      </x:c>
      <x:c r="D30" s="100" t="n">
        <x:v>136734.684</x:v>
      </x:c>
      <x:c r="E30" s="100" t="n">
        <x:v>153662.426</x:v>
      </x:c>
      <x:c r="F30" s="100" t="n">
        <x:v>168439</x:v>
      </x:c>
      <x:c r="G30" s="100" t="n">
        <x:v>172366.999</x:v>
      </x:c>
      <x:c r="H30" s="56" t="str"/>
      <x:c r="I30" s="100" t="n">
        <x:v>50665</x:v>
      </x:c>
      <x:c r="J30" s="100" t="n">
        <x:v>105.697</x:v>
      </x:c>
      <x:c r="K30" s="100" t="n">
        <x:v>13</x:v>
      </x:c>
      <x:c r="L30" s="100" t="n">
        <x:v>0</x:v>
      </x:c>
      <x:c r="M30" s="100" t="n">
        <x:v>331.371</x:v>
      </x:c>
      <x:c r="N30" s="100" t="n">
        <x:v>119577.692</x:v>
      </x:c>
      <x:c r="O30" s="100" t="n">
        <x:v>64615</x:v>
      </x:c>
      <x:c r="P30" s="100" t="n">
        <x:v>40621</x:v>
      </x:c>
      <x:c r="Q30" s="100" t="n">
        <x:v>0</x:v>
      </x:c>
      <x:c r="R30" s="100" t="n">
        <x:v>4163</x:v>
      </x:c>
      <x:c r="S30" s="100" t="n">
        <x:v>10182.912</x:v>
      </x:c>
      <x:c r="T30" s="100" t="n">
        <x:v>1203</x:v>
      </x:c>
      <x:c r="U30" s="100" t="n">
        <x:v>0</x:v>
      </x:c>
    </x:row>
    <x:row r="31">
      <x:c r="A31" s="108" t="str">
        <x:v>Slovenia</x:v>
      </x:c>
      <x:c r="B31" s="109" t="n">
        <x:v>13262</x:v>
      </x:c>
      <x:c r="C31" s="109" t="n">
        <x:v>15271.241</x:v>
      </x:c>
      <x:c r="D31" s="109" t="n">
        <x:v>16403.179</x:v>
      </x:c>
      <x:c r="E31" s="109" t="n">
        <x:v>17437.741</x:v>
      </x:c>
      <x:c r="F31" s="109" t="n">
        <x:v>16099.564</x:v>
      </x:c>
      <x:c r="G31" s="109" t="n">
        <x:v>16992.689</x:v>
      </x:c>
      <x:c r="H31" s="56" t="str"/>
      <x:c r="I31" s="109" t="n">
        <x:v>5835.725</x:v>
      </x:c>
      <x:c r="J31" s="109" t="n">
        <x:v>481.809</x:v>
      </x:c>
      <x:c r="K31" s="109" t="n">
        <x:v>3498.058</x:v>
      </x:c>
      <x:c r="L31" s="109" t="n">
        <x:v>3181.802</x:v>
      </x:c>
      <x:c r="M31" s="109" t="n">
        <x:v>8.551</x:v>
      </x:c>
      <x:c r="N31" s="109" t="n">
        <x:v>6869.994</x:v>
      </x:c>
      <x:c r="O31" s="109" t="n">
        <x:v>5335.883</x:v>
      </x:c>
      <x:c r="P31" s="109" t="n">
        <x:v>6.55</x:v>
      </x:c>
      <x:c r="Q31" s="109" t="n">
        <x:v>0</x:v>
      </x:c>
      <x:c r="R31" s="109" t="n">
        <x:v>1268.145</x:v>
      </x:c>
      <x:c r="S31" s="109" t="n">
        <x:v>259.416</x:v>
      </x:c>
      <x:c r="T31" s="109" t="n">
        <x:v>10.993</x:v>
      </x:c>
      <x:c r="U31" s="109" t="n">
        <x:v>4.52</x:v>
      </x:c>
    </x:row>
    <x:row r="32">
      <x:c r="A32" t="str">
        <x:v>Slovakia</x:v>
      </x:c>
      <x:c r="B32" s="100" t="n">
        <x:v>28407</x:v>
      </x:c>
      <x:c r="C32" s="100" t="n">
        <x:v>30567</x:v>
      </x:c>
      <x:c r="D32" s="100" t="n">
        <x:v>26154.561</x:v>
      </x:c>
      <x:c r="E32" s="100" t="n">
        <x:v>27401</x:v>
      </x:c>
      <x:c r="F32" s="100" t="n">
        <x:v>28434</x:v>
      </x:c>
      <x:c r="G32" s="100" t="n">
        <x:v>30070</x:v>
      </x:c>
      <x:c r="H32" s="56" t="str"/>
      <x:c r="I32" s="100" t="n">
        <x:v>18232</x:v>
      </x:c>
      <x:c r="J32" s="100" t="n">
        <x:v>2883</x:v>
      </x:c>
      <x:c r="K32" s="100" t="n">
        <x:v>526</x:v>
      </x:c>
      <x:c r="L32" s="100" t="n">
        <x:v>72</x:v>
      </x:c>
      <x:c r="M32" s="100" t="n">
        <x:v>357</x:v>
      </x:c>
      <x:c r="N32" s="100" t="n">
        <x:v>7108</x:v>
      </x:c>
      <x:c r="O32" s="100" t="n">
        <x:v>4826</x:v>
      </x:c>
      <x:c r="P32" s="100" t="n">
        <x:v>5</x:v>
      </x:c>
      <x:c r="Q32" s="100" t="n">
        <x:v>0</x:v>
      </x:c>
      <x:c r="R32" s="100" t="n">
        <x:v>694</x:v>
      </x:c>
      <x:c r="S32" s="100" t="n">
        <x:v>1583</x:v>
      </x:c>
      <x:c r="T32" s="100" t="n">
        <x:v>49</x:v>
      </x:c>
      <x:c r="U32" s="100" t="n">
        <x:v>5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4" customHeight="1">
      <x:c r="A1" s="52" t="str">
        <x:v>Country Curated | Gross Heat Production | 5-Year Interval 1999-2024</x:v>
      </x:c>
    </x:row>
    <x:row r="2" ht="20" customHeight="1">
      <x:c r="A2" s="59" t="str">
        <x:v>Curated interval total production plus 2024 fuel breakdown | Unit: GWH | Source: Eurostat nrg_bal_peh</x:v>
      </x:c>
    </x:row>
    <x:row r="3" ht="22" customHeight="1">
      <x:c r="A3" s="96" t="str">
        <x:v>Country</x:v>
      </x:c>
      <x:c r="B3" s="96" t="n">
        <x:v>1999</x:v>
      </x:c>
      <x:c r="C3" s="96" t="n">
        <x:v>2004</x:v>
      </x:c>
      <x:c r="D3" s="96" t="n">
        <x:v>2009</x:v>
      </x:c>
      <x:c r="E3" s="96" t="n">
        <x:v>2014</x:v>
      </x:c>
      <x:c r="F3" s="96" t="n">
        <x:v>2019</x:v>
      </x:c>
      <x:c r="G3" s="96" t="n">
        <x:v>2024</x:v>
      </x:c>
      <x:c r="H3" s="112" t="str"/>
      <x:c r="I3" s="96" t="str">
        <x:v>2024 fuel breakdown</x:v>
      </x:c>
      <x:c r="J3" s="96" t="str"/>
      <x:c r="K3" s="96" t="str"/>
      <x:c r="L3" s="96" t="str"/>
      <x:c r="M3" s="96" t="str"/>
      <x:c r="N3" s="96" t="str"/>
      <x:c r="O3" s="96" t="str"/>
      <x:c r="P3" s="96" t="str"/>
      <x:c r="Q3" s="96" t="str"/>
      <x:c r="R3" s="96" t="str"/>
      <x:c r="S3" s="96" t="str"/>
      <x:c r="T3" s="96" t="str"/>
      <x:c r="U3" s="96" t="str"/>
    </x:row>
    <x:row r="4" ht="22" customHeight="1">
      <x:c r="A4" s="96" t="str"/>
      <x:c r="B4" s="96" t="str">
        <x:v>TOTAL</x:v>
      </x:c>
      <x:c r="C4" s="96" t="str">
        <x:v>TOTAL</x:v>
      </x:c>
      <x:c r="D4" s="96" t="str">
        <x:v>TOTAL</x:v>
      </x:c>
      <x:c r="E4" s="96" t="str">
        <x:v>TOTAL</x:v>
      </x:c>
      <x:c r="F4" s="96" t="str">
        <x:v>TOTAL</x:v>
      </x:c>
      <x:c r="G4" s="96" t="str">
        <x:v>TOTAL</x:v>
      </x:c>
      <x:c r="H4" s="112" t="str"/>
      <x:c r="I4" s="96" t="str">
        <x:v>Nuclear</x:v>
      </x:c>
      <x:c r="J4" s="96" t="str">
        <x:v>Natural Gas</x:v>
      </x:c>
      <x:c r="K4" s="96" t="str">
        <x:v>Solid Fossil Fuels</x:v>
      </x:c>
      <x:c r="L4" s="96" t="str">
        <x:v>Lignite</x:v>
      </x:c>
      <x:c r="M4" s="96" t="str">
        <x:v>Oil &amp; Petroleum excl. Biofuels</x:v>
      </x:c>
      <x:c r="N4" s="96" t="str">
        <x:v>Renewables &amp; Biofuels</x:v>
      </x:c>
      <x:c r="O4" s="96" t="str">
        <x:v>Hydro</x:v>
      </x:c>
      <x:c r="P4" s="96" t="str">
        <x:v>Wind</x:v>
      </x:c>
      <x:c r="Q4" s="96" t="str">
        <x:v>Solar Thermal</x:v>
      </x:c>
      <x:c r="R4" s="96" t="str">
        <x:v>Solar Photovoltaic</x:v>
      </x:c>
      <x:c r="S4" s="96" t="str">
        <x:v>Bioenergy</x:v>
      </x:c>
      <x:c r="T4" s="96" t="str">
        <x:v>Waste</x:v>
      </x:c>
      <x:c r="U4" s="96" t="str">
        <x:v>Batteries</x:v>
      </x:c>
    </x:row>
    <x:row r="5">
      <x:c r="A5" s="103" t="str">
        <x:v>EU-27 (2020 def.)</x:v>
      </x:c>
      <x:c r="B5" s="104" t="n">
        <x:v>585209.722</x:v>
      </x:c>
      <x:c r="C5" s="104" t="n">
        <x:v>708635.421</x:v>
      </x:c>
      <x:c r="D5" s="104" t="n">
        <x:v>662952.722</x:v>
      </x:c>
      <x:c r="E5" s="104" t="n">
        <x:v>632090.859</x:v>
      </x:c>
      <x:c r="F5" s="104" t="n">
        <x:v>645600.383</x:v>
      </x:c>
      <x:c r="G5" s="104" t="n">
        <x:v>561184.202</x:v>
      </x:c>
      <x:c r="H5" s="113" t="str"/>
      <x:c r="I5" s="104" t="n">
        <x:v>1152.759</x:v>
      </x:c>
      <x:c r="J5" s="104" t="n">
        <x:v>180821.409</x:v>
      </x:c>
      <x:c r="K5" s="104" t="n">
        <x:v>83698.848</x:v>
      </x:c>
      <x:c r="L5" s="104" t="n">
        <x:v>18050.139</x:v>
      </x:c>
      <x:c r="M5" s="104" t="n">
        <x:v>13524.413</x:v>
      </x:c>
      <x:c r="N5" s="104" t="n">
        <x:v>195897.126</x:v>
      </x:c>
      <x:c r="O5" s="104"/>
      <x:c r="P5" s="104"/>
      <x:c r="Q5" s="104" t="n">
        <x:v>736.777</x:v>
      </x:c>
      <x:c r="R5" s="104"/>
      <x:c r="S5" s="104"/>
      <x:c r="T5" s="104" t="n">
        <x:v>39437.953</x:v>
      </x:c>
      <x:c r="U5" s="104"/>
    </x:row>
    <x:row r="6">
      <x:c r="A6" t="str">
        <x:v>Austria</x:v>
      </x:c>
      <x:c r="B6" s="100" t="n">
        <x:v>13366.944</x:v>
      </x:c>
      <x:c r="C6" s="100" t="n">
        <x:v>15660.833</x:v>
      </x:c>
      <x:c r="D6" s="100" t="n">
        <x:v>19492.049</x:v>
      </x:c>
      <x:c r="E6" s="100" t="n">
        <x:v>21888.129</x:v>
      </x:c>
      <x:c r="F6" s="100" t="n">
        <x:v>23316.429</x:v>
      </x:c>
      <x:c r="G6" s="100" t="n">
        <x:v>22638.568</x:v>
      </x:c>
      <x:c r="H6" s="56" t="str"/>
      <x:c r="I6" s="100" t="n">
        <x:v>0</x:v>
      </x:c>
      <x:c r="J6" s="100" t="n">
        <x:v>6924.539</x:v>
      </x:c>
      <x:c r="K6" s="100" t="n">
        <x:v>0</x:v>
      </x:c>
      <x:c r="L6" s="100" t="n">
        <x:v>0</x:v>
      </x:c>
      <x:c r="M6" s="100" t="n">
        <x:v>756.239</x:v>
      </x:c>
      <x:c r="N6" s="100" t="n">
        <x:v>12875.102</x:v>
      </x:c>
      <x:c r="O6" s="100"/>
      <x:c r="P6" s="100"/>
      <x:c r="Q6" s="100" t="n">
        <x:v>38.446</x:v>
      </x:c>
      <x:c r="R6" s="100"/>
      <x:c r="S6" s="100" t="n">
        <x:v>12555.042</x:v>
      </x:c>
      <x:c r="T6" s="100" t="n">
        <x:v>1753.756</x:v>
      </x:c>
      <x:c r="U6" s="100"/>
    </x:row>
    <x:row r="7">
      <x:c r="A7" s="108" t="str">
        <x:v>Belgium</x:v>
      </x:c>
      <x:c r="B7" s="109" t="n">
        <x:v>5004.722</x:v>
      </x:c>
      <x:c r="C7" s="109" t="n">
        <x:v>9150.806</x:v>
      </x:c>
      <x:c r="D7" s="109" t="n">
        <x:v>10358.833</x:v>
      </x:c>
      <x:c r="E7" s="109" t="n">
        <x:v>10042.139</x:v>
      </x:c>
      <x:c r="F7" s="109" t="n">
        <x:v>8464.722</x:v>
      </x:c>
      <x:c r="G7" s="109" t="n">
        <x:v>3972.972</x:v>
      </x:c>
      <x:c r="H7" s="56" t="str"/>
      <x:c r="I7" s="109" t="n">
        <x:v>0</x:v>
      </x:c>
      <x:c r="J7" s="109" t="n">
        <x:v>2363.278</x:v>
      </x:c>
      <x:c r="K7" s="109" t="n">
        <x:v>0</x:v>
      </x:c>
      <x:c r="L7" s="109" t="n">
        <x:v>0</x:v>
      </x:c>
      <x:c r="M7" s="109" t="n">
        <x:v>4.75</x:v>
      </x:c>
      <x:c r="N7" s="109" t="n">
        <x:v>1133.417</x:v>
      </x:c>
      <x:c r="O7" s="109"/>
      <x:c r="P7" s="109"/>
      <x:c r="Q7" s="109" t="n">
        <x:v>0</x:v>
      </x:c>
      <x:c r="R7" s="109"/>
      <x:c r="S7" s="109" t="n">
        <x:v>1113.069</x:v>
      </x:c>
      <x:c r="T7" s="109" t="n">
        <x:v>471.528</x:v>
      </x:c>
      <x:c r="U7" s="109"/>
    </x:row>
    <x:row r="8">
      <x:c r="A8" t="str">
        <x:v>Bulgaria</x:v>
      </x:c>
      <x:c r="B8" s="100" t="n">
        <x:v>15365.556</x:v>
      </x:c>
      <x:c r="C8" s="100" t="n">
        <x:v>14096.389</x:v>
      </x:c>
      <x:c r="D8" s="100" t="n">
        <x:v>16698.056</x:v>
      </x:c>
      <x:c r="E8" s="100" t="n">
        <x:v>15049.722</x:v>
      </x:c>
      <x:c r="F8" s="100" t="n">
        <x:v>10776.964</x:v>
      </x:c>
      <x:c r="G8" s="100" t="n">
        <x:v>10063.866</x:v>
      </x:c>
      <x:c r="H8" s="56" t="str"/>
      <x:c r="I8" s="100" t="n">
        <x:v>124.524</x:v>
      </x:c>
      <x:c r="J8" s="100" t="n">
        <x:v>5779.704</x:v>
      </x:c>
      <x:c r="K8" s="100" t="n">
        <x:v>1497.585</x:v>
      </x:c>
      <x:c r="L8" s="100" t="n">
        <x:v>498.648</x:v>
      </x:c>
      <x:c r="M8" s="100" t="n">
        <x:v>27.218</x:v>
      </x:c>
      <x:c r="N8" s="100" t="n">
        <x:v>1750.636</x:v>
      </x:c>
      <x:c r="O8" s="100"/>
      <x:c r="P8" s="100"/>
      <x:c r="Q8" s="100" t="n">
        <x:v>0</x:v>
      </x:c>
      <x:c r="R8" s="100"/>
      <x:c r="S8" s="100" t="n">
        <x:v>1750.636</x:v>
      </x:c>
      <x:c r="T8" s="100" t="n">
        <x:v>77.861</x:v>
      </x:c>
      <x:c r="U8" s="100"/>
    </x:row>
    <x:row r="9">
      <x:c r="A9" s="108" t="str">
        <x:v>Cyprus</x:v>
      </x:c>
      <x:c r="B9" s="109" t="n">
        <x:v>0</x:v>
      </x:c>
      <x:c r="C9" s="109" t="n">
        <x:v>0</x:v>
      </x:c>
      <x:c r="D9" s="109" t="n">
        <x:v>1.111</x:v>
      </x:c>
      <x:c r="E9" s="109" t="n">
        <x:v>12.5</x:v>
      </x:c>
      <x:c r="F9" s="109" t="n">
        <x:v>14.298</x:v>
      </x:c>
      <x:c r="G9" s="109" t="n">
        <x:v>9.465</x:v>
      </x:c>
      <x:c r="H9" s="56" t="str"/>
      <x:c r="I9" s="109" t="n">
        <x:v>0</x:v>
      </x:c>
      <x:c r="J9" s="109" t="n">
        <x:v>0</x:v>
      </x:c>
      <x:c r="K9" s="109" t="n">
        <x:v>0</x:v>
      </x:c>
      <x:c r="L9" s="109" t="n">
        <x:v>0</x:v>
      </x:c>
      <x:c r="M9" s="109" t="n">
        <x:v>0</x:v>
      </x:c>
      <x:c r="N9" s="109" t="n">
        <x:v>9.465</x:v>
      </x:c>
      <x:c r="O9" s="109"/>
      <x:c r="P9" s="109"/>
      <x:c r="Q9" s="109" t="n">
        <x:v>0</x:v>
      </x:c>
      <x:c r="R9" s="109"/>
      <x:c r="S9" s="109" t="n">
        <x:v>9.465</x:v>
      </x:c>
      <x:c r="T9" s="109" t="n">
        <x:v>0</x:v>
      </x:c>
      <x:c r="U9" s="109"/>
    </x:row>
    <x:row r="10">
      <x:c r="A10" t="str">
        <x:v>Czechia</x:v>
      </x:c>
      <x:c r="B10" s="100" t="n">
        <x:v>40916.944</x:v>
      </x:c>
      <x:c r="C10" s="100" t="n">
        <x:v>40111.667</x:v>
      </x:c>
      <x:c r="D10" s="100" t="n">
        <x:v>33761.111</x:v>
      </x:c>
      <x:c r="E10" s="100" t="n">
        <x:v>33263.056</x:v>
      </x:c>
      <x:c r="F10" s="100" t="n">
        <x:v>32330.651</x:v>
      </x:c>
      <x:c r="G10" s="100" t="n">
        <x:v>26845.479</x:v>
      </x:c>
      <x:c r="H10" s="56" t="str"/>
      <x:c r="I10" s="100" t="n">
        <x:v>440.457</x:v>
      </x:c>
      <x:c r="J10" s="100" t="n">
        <x:v>8302.921</x:v>
      </x:c>
      <x:c r="K10" s="100" t="n">
        <x:v>12078.903</x:v>
      </x:c>
      <x:c r="L10" s="100" t="n">
        <x:v>9994.207</x:v>
      </x:c>
      <x:c r="M10" s="100" t="n">
        <x:v>256.327</x:v>
      </x:c>
      <x:c r="N10" s="100" t="n">
        <x:v>3855.757</x:v>
      </x:c>
      <x:c r="O10" s="100"/>
      <x:c r="P10" s="100"/>
      <x:c r="Q10" s="100" t="n">
        <x:v>0</x:v>
      </x:c>
      <x:c r="R10" s="100"/>
      <x:c r="S10" s="100" t="n">
        <x:v>3832.324</x:v>
      </x:c>
      <x:c r="T10" s="100" t="n">
        <x:v>523.456</x:v>
      </x:c>
      <x:c r="U10" s="100"/>
    </x:row>
    <x:row r="11">
      <x:c r="A11" s="108" t="str">
        <x:v>Germany</x:v>
      </x:c>
      <x:c r="B11" s="109" t="n">
        <x:v>105430.833</x:v>
      </x:c>
      <x:c r="C11" s="109" t="n">
        <x:v>136548.889</x:v>
      </x:c>
      <x:c r="D11" s="109" t="n">
        <x:v>130411.944</x:v>
      </x:c>
      <x:c r="E11" s="109" t="n">
        <x:v>121752.222</x:v>
      </x:c>
      <x:c r="F11" s="109" t="n">
        <x:v>127202.222</x:v>
      </x:c>
      <x:c r="G11" s="109" t="n">
        <x:v>114945.556</x:v>
      </x:c>
      <x:c r="H11" s="56" t="str"/>
      <x:c r="I11" s="109" t="n">
        <x:v>0</x:v>
      </x:c>
      <x:c r="J11" s="109" t="n">
        <x:v>58921.667</x:v>
      </x:c>
      <x:c r="K11" s="109" t="n">
        <x:v>16710.556</x:v>
      </x:c>
      <x:c r="L11" s="109" t="n">
        <x:v>4193.333</x:v>
      </x:c>
      <x:c r="M11" s="109" t="n">
        <x:v>1899.167</x:v>
      </x:c>
      <x:c r="N11" s="109" t="n">
        <x:v>23475</x:v>
      </x:c>
      <x:c r="O11" s="109"/>
      <x:c r="P11" s="109"/>
      <x:c r="Q11" s="109" t="n">
        <x:v>38.611</x:v>
      </x:c>
      <x:c r="R11" s="109"/>
      <x:c r="S11" s="109" t="n">
        <x:v>23338.457</x:v>
      </x:c>
      <x:c r="T11" s="109" t="n">
        <x:v>12278.056</x:v>
      </x:c>
      <x:c r="U11" s="109"/>
    </x:row>
    <x:row r="12">
      <x:c r="A12" t="str">
        <x:v>Denmark</x:v>
      </x:c>
      <x:c r="B12" s="100" t="n">
        <x:v>34272.778</x:v>
      </x:c>
      <x:c r="C12" s="100" t="n">
        <x:v>36205.556</x:v>
      </x:c>
      <x:c r="D12" s="100" t="n">
        <x:v>36522.778</x:v>
      </x:c>
      <x:c r="E12" s="100" t="n">
        <x:v>34147.894</x:v>
      </x:c>
      <x:c r="F12" s="100" t="n">
        <x:v>36656.575</x:v>
      </x:c>
      <x:c r="G12" s="100" t="n">
        <x:v>37648.443</x:v>
      </x:c>
      <x:c r="H12" s="56" t="str"/>
      <x:c r="I12" s="100" t="n">
        <x:v>0</x:v>
      </x:c>
      <x:c r="J12" s="100" t="n">
        <x:v>2995.724</x:v>
      </x:c>
      <x:c r="K12" s="100" t="n">
        <x:v>1284.901</x:v>
      </x:c>
      <x:c r="L12" s="100" t="n">
        <x:v>0</x:v>
      </x:c>
      <x:c r="M12" s="100" t="n">
        <x:v>312.615</x:v>
      </x:c>
      <x:c r="N12" s="100" t="n">
        <x:v>25236.692</x:v>
      </x:c>
      <x:c r="O12" s="100"/>
      <x:c r="P12" s="100"/>
      <x:c r="Q12" s="100" t="n">
        <x:v>645.367</x:v>
      </x:c>
      <x:c r="R12" s="100"/>
      <x:c r="S12" s="100" t="n">
        <x:v>24070.923</x:v>
      </x:c>
      <x:c r="T12" s="100" t="n">
        <x:v>4733.296</x:v>
      </x:c>
      <x:c r="U12" s="100"/>
    </x:row>
    <x:row r="13">
      <x:c r="A13" s="108" t="str">
        <x:v>Estonia</x:v>
      </x:c>
      <x:c r="B13" s="109" t="n">
        <x:v>8101.111</x:v>
      </x:c>
      <x:c r="C13" s="109" t="n">
        <x:v>7490.833</x:v>
      </x:c>
      <x:c r="D13" s="109" t="n">
        <x:v>6868.333</x:v>
      </x:c>
      <x:c r="E13" s="109" t="n">
        <x:v>6058.889</x:v>
      </x:c>
      <x:c r="F13" s="109" t="n">
        <x:v>6099.495</x:v>
      </x:c>
      <x:c r="G13" s="109" t="n">
        <x:v>7035.798</x:v>
      </x:c>
      <x:c r="H13" s="56" t="str"/>
      <x:c r="I13" s="109" t="n">
        <x:v>0</x:v>
      </x:c>
      <x:c r="J13" s="109" t="n">
        <x:v>1153.14</x:v>
      </x:c>
      <x:c r="K13" s="109" t="n">
        <x:v>0.003</x:v>
      </x:c>
      <x:c r="L13" s="109" t="n">
        <x:v>0</x:v>
      </x:c>
      <x:c r="M13" s="109" t="n">
        <x:v>179.911</x:v>
      </x:c>
      <x:c r="N13" s="109" t="n">
        <x:v>4172.773</x:v>
      </x:c>
      <x:c r="O13" s="109"/>
      <x:c r="P13" s="109"/>
      <x:c r="Q13" s="109" t="n">
        <x:v>0</x:v>
      </x:c>
      <x:c r="R13" s="109"/>
      <x:c r="S13" s="109" t="n">
        <x:v>4200.292</x:v>
      </x:c>
      <x:c r="T13" s="109" t="n">
        <x:v>246.96</x:v>
      </x:c>
      <x:c r="U13" s="109"/>
    </x:row>
    <x:row r="14">
      <x:c r="A14" t="str">
        <x:v>Greece</x:v>
      </x:c>
      <x:c r="B14" s="100" t="n">
        <x:v>306.389</x:v>
      </x:c>
      <x:c r="C14" s="100" t="n">
        <x:v>504.722</x:v>
      </x:c>
      <x:c r="D14" s="100" t="n">
        <x:v>569.444</x:v>
      </x:c>
      <x:c r="E14" s="100" t="n">
        <x:v>575.833</x:v>
      </x:c>
      <x:c r="F14" s="100" t="n">
        <x:v>611.911</x:v>
      </x:c>
      <x:c r="G14" s="100" t="n">
        <x:v>369.331</x:v>
      </x:c>
      <x:c r="H14" s="56" t="str"/>
      <x:c r="I14" s="100" t="n">
        <x:v>0</x:v>
      </x:c>
      <x:c r="J14" s="100" t="n">
        <x:v>89.167</x:v>
      </x:c>
      <x:c r="K14" s="100" t="n">
        <x:v>280.164</x:v>
      </x:c>
      <x:c r="L14" s="100" t="n">
        <x:v>280.164</x:v>
      </x:c>
      <x:c r="M14" s="100" t="n">
        <x:v>0</x:v>
      </x:c>
      <x:c r="N14" s="100" t="n">
        <x:v>0</x:v>
      </x:c>
      <x:c r="O14" s="100"/>
      <x:c r="P14" s="100"/>
      <x:c r="Q14" s="100" t="n">
        <x:v>0</x:v>
      </x:c>
      <x:c r="R14" s="100"/>
      <x:c r="S14" s="100" t="n">
        <x:v>0</x:v>
      </x:c>
      <x:c r="T14" s="100" t="n">
        <x:v>0</x:v>
      </x:c>
      <x:c r="U14" s="100"/>
    </x:row>
    <x:row r="15">
      <x:c r="A15" s="108" t="str">
        <x:v>Spain</x:v>
      </x:c>
      <x:c r="B15" s="109" t="n">
        <x:v>0</x:v>
      </x:c>
      <x:c r="C15" s="109" t="n">
        <x:v>0</x:v>
      </x:c>
      <x:c r="D15" s="109" t="n">
        <x:v>0</x:v>
      </x:c>
      <x:c r="E15" s="109" t="n">
        <x:v>0</x:v>
      </x:c>
      <x:c r="F15" s="109" t="n">
        <x:v>0</x:v>
      </x:c>
      <x:c r="G15" s="109" t="n">
        <x:v>666.667</x:v>
      </x:c>
      <x:c r="H15" s="56" t="str"/>
      <x:c r="I15" s="109" t="n">
        <x:v>0</x:v>
      </x:c>
      <x:c r="J15" s="109" t="n">
        <x:v>138.889</x:v>
      </x:c>
      <x:c r="K15" s="109" t="n">
        <x:v>0</x:v>
      </x:c>
      <x:c r="L15" s="109" t="n">
        <x:v>0</x:v>
      </x:c>
      <x:c r="M15" s="109" t="n">
        <x:v>3.611</x:v>
      </x:c>
      <x:c r="N15" s="109" t="n">
        <x:v>503.056</x:v>
      </x:c>
      <x:c r="O15" s="109"/>
      <x:c r="P15" s="109"/>
      <x:c r="Q15" s="109" t="n">
        <x:v>0</x:v>
      </x:c>
      <x:c r="R15" s="109"/>
      <x:c r="S15" s="109" t="n">
        <x:v>503.197</x:v>
      </x:c>
      <x:c r="T15" s="109" t="n">
        <x:v>0</x:v>
      </x:c>
      <x:c r="U15" s="109"/>
    </x:row>
    <x:row r="16">
      <x:c r="A16" t="str">
        <x:v>Finland</x:v>
      </x:c>
      <x:c r="B16" s="100" t="n">
        <x:v>34529.722</x:v>
      </x:c>
      <x:c r="C16" s="100" t="n">
        <x:v>51555</x:v>
      </x:c>
      <x:c r="D16" s="100" t="n">
        <x:v>52361.389</x:v>
      </x:c>
      <x:c r="E16" s="100" t="n">
        <x:v>51281.111</x:v>
      </x:c>
      <x:c r="F16" s="100" t="n">
        <x:v>51465.278</x:v>
      </x:c>
      <x:c r="G16" s="100" t="n">
        <x:v>49767.874</x:v>
      </x:c>
      <x:c r="H16" s="56" t="str"/>
      <x:c r="I16" s="100" t="n">
        <x:v>0</x:v>
      </x:c>
      <x:c r="J16" s="100" t="n">
        <x:v>3840.556</x:v>
      </x:c>
      <x:c r="K16" s="100" t="n">
        <x:v>1845.278</x:v>
      </x:c>
      <x:c r="L16" s="100" t="n">
        <x:v>0</x:v>
      </x:c>
      <x:c r="M16" s="100" t="n">
        <x:v>2446.944</x:v>
      </x:c>
      <x:c r="N16" s="100" t="n">
        <x:v>27171.082</x:v>
      </x:c>
      <x:c r="O16" s="100"/>
      <x:c r="P16" s="100"/>
      <x:c r="Q16" s="100" t="n">
        <x:v>0</x:v>
      </x:c>
      <x:c r="R16" s="100"/>
      <x:c r="S16" s="100" t="n">
        <x:v>27202.941</x:v>
      </x:c>
      <x:c r="T16" s="100" t="n">
        <x:v>2135.959</x:v>
      </x:c>
      <x:c r="U16" s="100"/>
    </x:row>
    <x:row r="17">
      <x:c r="A17" s="108" t="str">
        <x:v>France</x:v>
      </x:c>
      <x:c r="B17" s="109" t="n">
        <x:v>6604.167</x:v>
      </x:c>
      <x:c r="C17" s="109" t="n">
        <x:v>46722.222</x:v>
      </x:c>
      <x:c r="D17" s="109" t="n">
        <x:v>41997.005</x:v>
      </x:c>
      <x:c r="E17" s="109" t="n">
        <x:v>38300.568</x:v>
      </x:c>
      <x:c r="F17" s="109" t="n">
        <x:v>49033.787</x:v>
      </x:c>
      <x:c r="G17" s="109" t="n">
        <x:v>48374.409</x:v>
      </x:c>
      <x:c r="H17" s="56" t="str"/>
      <x:c r="I17" s="109" t="n">
        <x:v>0</x:v>
      </x:c>
      <x:c r="J17" s="109" t="n">
        <x:v>16403.305</x:v>
      </x:c>
      <x:c r="K17" s="109" t="n">
        <x:v>336.609</x:v>
      </x:c>
      <x:c r="L17" s="109" t="n">
        <x:v>0</x:v>
      </x:c>
      <x:c r="M17" s="109" t="n">
        <x:v>2129.52</x:v>
      </x:c>
      <x:c r="N17" s="109" t="n">
        <x:v>21952.298</x:v>
      </x:c>
      <x:c r="O17" s="109"/>
      <x:c r="P17" s="109"/>
      <x:c r="Q17" s="109" t="n">
        <x:v>0</x:v>
      </x:c>
      <x:c r="R17" s="109"/>
      <x:c r="S17" s="109" t="n">
        <x:v>19786.465</x:v>
      </x:c>
      <x:c r="T17" s="109" t="n">
        <x:v>5464.067</x:v>
      </x:c>
      <x:c r="U17" s="109"/>
    </x:row>
    <x:row r="18">
      <x:c r="A18" t="str">
        <x:v>Croatia</x:v>
      </x:c>
      <x:c r="B18" s="100" t="n">
        <x:v>3621.944</x:v>
      </x:c>
      <x:c r="C18" s="100" t="n">
        <x:v>3567.222</x:v>
      </x:c>
      <x:c r="D18" s="100" t="n">
        <x:v>3221.667</x:v>
      </x:c>
      <x:c r="E18" s="100" t="n">
        <x:v>2813.056</x:v>
      </x:c>
      <x:c r="F18" s="100" t="n">
        <x:v>3661.556</x:v>
      </x:c>
      <x:c r="G18" s="100" t="n">
        <x:v>3672.45</x:v>
      </x:c>
      <x:c r="H18" s="56" t="str"/>
      <x:c r="I18" s="100" t="n">
        <x:v>0</x:v>
      </x:c>
      <x:c r="J18" s="100" t="n">
        <x:v>2614.128</x:v>
      </x:c>
      <x:c r="K18" s="100" t="n">
        <x:v>0</x:v>
      </x:c>
      <x:c r="L18" s="100" t="n">
        <x:v>0</x:v>
      </x:c>
      <x:c r="M18" s="100" t="n">
        <x:v>25.544</x:v>
      </x:c>
      <x:c r="N18" s="100" t="n">
        <x:v>1032.778</x:v>
      </x:c>
      <x:c r="O18" s="100"/>
      <x:c r="P18" s="100"/>
      <x:c r="Q18" s="100" t="n">
        <x:v>0</x:v>
      </x:c>
      <x:c r="R18" s="100"/>
      <x:c r="S18" s="100" t="n">
        <x:v>1032.778</x:v>
      </x:c>
      <x:c r="T18" s="100" t="n">
        <x:v>0</x:v>
      </x:c>
      <x:c r="U18" s="100"/>
    </x:row>
    <x:row r="19">
      <x:c r="A19" s="108" t="str">
        <x:v>Hungary</x:v>
      </x:c>
      <x:c r="B19" s="109" t="n">
        <x:v>20174.444</x:v>
      </x:c>
      <x:c r="C19" s="109" t="n">
        <x:v>17367.222</x:v>
      </x:c>
      <x:c r="D19" s="109" t="n">
        <x:v>14752.5</x:v>
      </x:c>
      <x:c r="E19" s="109" t="n">
        <x:v>13324.444</x:v>
      </x:c>
      <x:c r="F19" s="109" t="n">
        <x:v>13444.444</x:v>
      </x:c>
      <x:c r="G19" s="109" t="n">
        <x:v>12002.556</x:v>
      </x:c>
      <x:c r="H19" s="56" t="str"/>
      <x:c r="I19" s="109" t="n">
        <x:v>103.056</x:v>
      </x:c>
      <x:c r="J19" s="109" t="n">
        <x:v>8171.944</x:v>
      </x:c>
      <x:c r="K19" s="109" t="n">
        <x:v>277.222</x:v>
      </x:c>
      <x:c r="L19" s="109" t="n">
        <x:v>277.222</x:v>
      </x:c>
      <x:c r="M19" s="109" t="n">
        <x:v>2.222</x:v>
      </x:c>
      <x:c r="N19" s="109" t="n">
        <x:v>2269.139</x:v>
      </x:c>
      <x:c r="O19" s="109"/>
      <x:c r="P19" s="109"/>
      <x:c r="Q19" s="109" t="n">
        <x:v>0</x:v>
      </x:c>
      <x:c r="R19" s="109"/>
      <x:c r="S19" s="109" t="n">
        <x:v>1390.642</x:v>
      </x:c>
      <x:c r="T19" s="109" t="n">
        <x:v>317.778</x:v>
      </x:c>
      <x:c r="U19" s="109"/>
    </x:row>
    <x:row r="20">
      <x:c r="A20" t="str">
        <x:v>Ireland</x:v>
      </x:c>
      <x:c r="B20" s="100" t="n">
        <x:v>0</x:v>
      </x:c>
      <x:c r="C20" s="100" t="n">
        <x:v>0</x:v>
      </x:c>
      <x:c r="D20" s="100" t="n">
        <x:v>0</x:v>
      </x:c>
      <x:c r="E20" s="100" t="n">
        <x:v>0</x:v>
      </x:c>
      <x:c r="F20" s="100" t="n">
        <x:v>0</x:v>
      </x:c>
      <x:c r="G20" s="100" t="n">
        <x:v>0</x:v>
      </x:c>
      <x:c r="H20" s="56" t="str"/>
      <x:c r="I20" s="100" t="n">
        <x:v>0</x:v>
      </x:c>
      <x:c r="J20" s="100" t="n">
        <x:v>0</x:v>
      </x:c>
      <x:c r="K20" s="100" t="n">
        <x:v>0</x:v>
      </x:c>
      <x:c r="L20" s="100" t="n">
        <x:v>0</x:v>
      </x:c>
      <x:c r="M20" s="100" t="n">
        <x:v>0</x:v>
      </x:c>
      <x:c r="N20" s="100" t="n">
        <x:v>0</x:v>
      </x:c>
      <x:c r="O20" s="100"/>
      <x:c r="P20" s="100"/>
      <x:c r="Q20" s="100" t="n">
        <x:v>0</x:v>
      </x:c>
      <x:c r="R20" s="100"/>
      <x:c r="S20" s="100" t="n">
        <x:v>0</x:v>
      </x:c>
      <x:c r="T20" s="100" t="n">
        <x:v>0</x:v>
      </x:c>
      <x:c r="U20" s="100"/>
    </x:row>
    <x:row r="21">
      <x:c r="A21" s="108" t="str">
        <x:v>Italy</x:v>
      </x:c>
      <x:c r="B21" s="109" t="n">
        <x:v>0</x:v>
      </x:c>
      <x:c r="C21" s="109" t="n">
        <x:v>52660</x:v>
      </x:c>
      <x:c r="D21" s="109" t="n">
        <x:v>50227.778</x:v>
      </x:c>
      <x:c r="E21" s="109" t="n">
        <x:v>57209.444</x:v>
      </x:c>
      <x:c r="F21" s="109" t="n">
        <x:v>64278.104</x:v>
      </x:c>
      <x:c r="G21" s="109" t="n">
        <x:v>24523.853</x:v>
      </x:c>
      <x:c r="H21" s="56" t="str"/>
      <x:c r="I21" s="109" t="n">
        <x:v>0</x:v>
      </x:c>
      <x:c r="J21" s="109" t="n">
        <x:v>17368.095</x:v>
      </x:c>
      <x:c r="K21" s="109" t="n">
        <x:v>0</x:v>
      </x:c>
      <x:c r="L21" s="109" t="n">
        <x:v>0</x:v>
      </x:c>
      <x:c r="M21" s="109" t="n">
        <x:v>299.307</x:v>
      </x:c>
      <x:c r="N21" s="109" t="n">
        <x:v>4779.494</x:v>
      </x:c>
      <x:c r="O21" s="109"/>
      <x:c r="P21" s="109"/>
      <x:c r="Q21" s="109" t="n">
        <x:v>3.442</x:v>
      </x:c>
      <x:c r="R21" s="109"/>
      <x:c r="S21" s="109" t="n">
        <x:v>4552.986</x:v>
      </x:c>
      <x:c r="T21" s="109" t="n">
        <x:v>1326.656</x:v>
      </x:c>
      <x:c r="U21" s="109"/>
    </x:row>
    <x:row r="22">
      <x:c r="A22" t="str">
        <x:v>Lithuania</x:v>
      </x:c>
      <x:c r="B22" s="100" t="n">
        <x:v>14845.556</x:v>
      </x:c>
      <x:c r="C22" s="100" t="n">
        <x:v>13764.444</x:v>
      </x:c>
      <x:c r="D22" s="100" t="n">
        <x:v>13147.778</x:v>
      </x:c>
      <x:c r="E22" s="100" t="n">
        <x:v>12027.778</x:v>
      </x:c>
      <x:c r="F22" s="100" t="n">
        <x:v>11882.778</x:v>
      </x:c>
      <x:c r="G22" s="100" t="n">
        <x:v>10276.389</x:v>
      </x:c>
      <x:c r="H22" s="56" t="str"/>
      <x:c r="I22" s="100" t="n">
        <x:v>0</x:v>
      </x:c>
      <x:c r="J22" s="100" t="n">
        <x:v>1205.556</x:v>
      </x:c>
      <x:c r="K22" s="100" t="n">
        <x:v>3.056</x:v>
      </x:c>
      <x:c r="L22" s="100" t="n">
        <x:v>0</x:v>
      </x:c>
      <x:c r="M22" s="100" t="n">
        <x:v>60.556</x:v>
      </x:c>
      <x:c r="N22" s="100" t="n">
        <x:v>6991.111</x:v>
      </x:c>
      <x:c r="O22" s="100"/>
      <x:c r="P22" s="100"/>
      <x:c r="Q22" s="100" t="n">
        <x:v>0</x:v>
      </x:c>
      <x:c r="R22" s="100"/>
      <x:c r="S22" s="100" t="n">
        <x:v>6999.691</x:v>
      </x:c>
      <x:c r="T22" s="100" t="n">
        <x:v>337.778</x:v>
      </x:c>
      <x:c r="U22" s="100"/>
    </x:row>
    <x:row r="23">
      <x:c r="A23" s="108" t="str">
        <x:v>Luxembourg</x:v>
      </x:c>
      <x:c r="B23" s="109" t="n">
        <x:v>0.556</x:v>
      </x:c>
      <x:c r="C23" s="109" t="n">
        <x:v>871.005</x:v>
      </x:c>
      <x:c r="D23" s="109" t="n">
        <x:v>709.834</x:v>
      </x:c>
      <x:c r="E23" s="109" t="n">
        <x:v>701.296</x:v>
      </x:c>
      <x:c r="F23" s="109" t="n">
        <x:v>1120.374</x:v>
      </x:c>
      <x:c r="G23" s="109" t="n">
        <x:v>1607.309</x:v>
      </x:c>
      <x:c r="H23" s="56" t="str"/>
      <x:c r="I23" s="109" t="n">
        <x:v>0</x:v>
      </x:c>
      <x:c r="J23" s="109" t="n">
        <x:v>182.599</x:v>
      </x:c>
      <x:c r="K23" s="109" t="n">
        <x:v>0</x:v>
      </x:c>
      <x:c r="L23" s="109" t="n">
        <x:v>0</x:v>
      </x:c>
      <x:c r="M23" s="109" t="n">
        <x:v>0.501</x:v>
      </x:c>
      <x:c r="N23" s="109" t="n">
        <x:v>1332.062</x:v>
      </x:c>
      <x:c r="O23" s="109"/>
      <x:c r="P23" s="109"/>
      <x:c r="Q23" s="109" t="n">
        <x:v>0.014</x:v>
      </x:c>
      <x:c r="R23" s="109"/>
      <x:c r="S23" s="109" t="n">
        <x:v>1333.203</x:v>
      </x:c>
      <x:c r="T23" s="109" t="n">
        <x:v>17.761</x:v>
      </x:c>
      <x:c r="U23" s="109"/>
    </x:row>
    <x:row r="24">
      <x:c r="A24" t="str">
        <x:v>Latvia</x:v>
      </x:c>
      <x:c r="B24" s="100" t="n">
        <x:v>10053.056</x:v>
      </x:c>
      <x:c r="C24" s="100" t="n">
        <x:v>8636.944</x:v>
      </x:c>
      <x:c r="D24" s="100" t="n">
        <x:v>7307.778</x:v>
      </x:c>
      <x:c r="E24" s="100" t="n">
        <x:v>7151.944</x:v>
      </x:c>
      <x:c r="F24" s="100" t="n">
        <x:v>7947.826</x:v>
      </x:c>
      <x:c r="G24" s="100" t="n">
        <x:v>7216.103</x:v>
      </x:c>
      <x:c r="H24" s="56" t="str"/>
      <x:c r="I24" s="100" t="n">
        <x:v>0</x:v>
      </x:c>
      <x:c r="J24" s="100" t="n">
        <x:v>2310.779</x:v>
      </x:c>
      <x:c r="K24" s="100" t="n">
        <x:v>1.711</x:v>
      </x:c>
      <x:c r="L24" s="100" t="n">
        <x:v>0</x:v>
      </x:c>
      <x:c r="M24" s="100" t="n">
        <x:v>106.221</x:v>
      </x:c>
      <x:c r="N24" s="100" t="n">
        <x:v>4796.571</x:v>
      </x:c>
      <x:c r="O24" s="100"/>
      <x:c r="P24" s="100"/>
      <x:c r="Q24" s="100" t="n">
        <x:v>10.341</x:v>
      </x:c>
      <x:c r="R24" s="100"/>
      <x:c r="S24" s="100" t="n">
        <x:v>4803.614</x:v>
      </x:c>
      <x:c r="T24" s="100" t="n">
        <x:v>0</x:v>
      </x:c>
      <x:c r="U24" s="100"/>
    </x:row>
    <x:row r="25">
      <x:c r="A25" s="108" t="str">
        <x:v>Malta</x:v>
      </x:c>
      <x:c r="B25" s="109" t="n">
        <x:v>0</x:v>
      </x:c>
      <x:c r="C25" s="109" t="n">
        <x:v>0</x:v>
      </x:c>
      <x:c r="D25" s="109" t="n">
        <x:v>0</x:v>
      </x:c>
      <x:c r="E25" s="109" t="n">
        <x:v>0.278</x:v>
      </x:c>
      <x:c r="F25" s="109" t="n">
        <x:v>0.245</x:v>
      </x:c>
      <x:c r="G25" s="109" t="n">
        <x:v>0</x:v>
      </x:c>
      <x:c r="H25" s="56" t="str"/>
      <x:c r="I25" s="109" t="n">
        <x:v>0</x:v>
      </x:c>
      <x:c r="J25" s="109" t="n">
        <x:v>0</x:v>
      </x:c>
      <x:c r="K25" s="109" t="n">
        <x:v>0</x:v>
      </x:c>
      <x:c r="L25" s="109" t="n">
        <x:v>0</x:v>
      </x:c>
      <x:c r="M25" s="109" t="n">
        <x:v>0</x:v>
      </x:c>
      <x:c r="N25" s="109" t="n">
        <x:v>0</x:v>
      </x:c>
      <x:c r="O25" s="109"/>
      <x:c r="P25" s="109"/>
      <x:c r="Q25" s="109" t="n">
        <x:v>0</x:v>
      </x:c>
      <x:c r="R25" s="109"/>
      <x:c r="S25" s="109" t="n">
        <x:v>0</x:v>
      </x:c>
      <x:c r="T25" s="109" t="n">
        <x:v>0</x:v>
      </x:c>
      <x:c r="U25" s="109"/>
    </x:row>
    <x:row r="26">
      <x:c r="A26" t="str">
        <x:v>Netherlands</x:v>
      </x:c>
      <x:c r="B26" s="100" t="n">
        <x:v>49012.778</x:v>
      </x:c>
      <x:c r="C26" s="100" t="n">
        <x:v>52056.389</x:v>
      </x:c>
      <x:c r="D26" s="100" t="n">
        <x:v>42263.889</x:v>
      </x:c>
      <x:c r="E26" s="100" t="n">
        <x:v>40876.944</x:v>
      </x:c>
      <x:c r="F26" s="100" t="n">
        <x:v>31595.558</x:v>
      </x:c>
      <x:c r="G26" s="100" t="n">
        <x:v>26529.886</x:v>
      </x:c>
      <x:c r="H26" s="56" t="str"/>
      <x:c r="I26" s="100" t="n">
        <x:v>0</x:v>
      </x:c>
      <x:c r="J26" s="100" t="n">
        <x:v>13082.027</x:v>
      </x:c>
      <x:c r="K26" s="100" t="n">
        <x:v>164.806</x:v>
      </x:c>
      <x:c r="L26" s="100" t="n">
        <x:v>0</x:v>
      </x:c>
      <x:c r="M26" s="100" t="n">
        <x:v>1771.124</x:v>
      </x:c>
      <x:c r="N26" s="100" t="n">
        <x:v>5738.841</x:v>
      </x:c>
      <x:c r="O26" s="100"/>
      <x:c r="P26" s="100"/>
      <x:c r="Q26" s="100" t="n">
        <x:v>0</x:v>
      </x:c>
      <x:c r="R26" s="100"/>
      <x:c r="S26" s="100" t="n">
        <x:v>5875.906</x:v>
      </x:c>
      <x:c r="T26" s="100" t="n">
        <x:v>1992.868</x:v>
      </x:c>
      <x:c r="U26" s="100"/>
    </x:row>
    <x:row r="27">
      <x:c r="A27" s="108" t="str">
        <x:v>Poland</x:v>
      </x:c>
      <x:c r="B27" s="109" t="n">
        <x:v>103198.611</x:v>
      </x:c>
      <x:c r="C27" s="109" t="n">
        <x:v>94355.556</x:v>
      </x:c>
      <x:c r="D27" s="109" t="n">
        <x:v>85425</x:v>
      </x:c>
      <x:c r="E27" s="109" t="n">
        <x:v>76913.056</x:v>
      </x:c>
      <x:c r="F27" s="109" t="n">
        <x:v>79736.421</x:v>
      </x:c>
      <x:c r="G27" s="109" t="n">
        <x:v>72113.438</x:v>
      </x:c>
      <x:c r="H27" s="56" t="str"/>
      <x:c r="I27" s="109" t="n">
        <x:v>0</x:v>
      </x:c>
      <x:c r="J27" s="109" t="n">
        <x:v>12925.208</x:v>
      </x:c>
      <x:c r="K27" s="109" t="n">
        <x:v>46733.781</x:v>
      </x:c>
      <x:c r="L27" s="109" t="n">
        <x:v>844.673</x:v>
      </x:c>
      <x:c r="M27" s="109" t="n">
        <x:v>1367.371</x:v>
      </x:c>
      <x:c r="N27" s="109" t="n">
        <x:v>6869.175</x:v>
      </x:c>
      <x:c r="O27" s="109"/>
      <x:c r="P27" s="109"/>
      <x:c r="Q27" s="109" t="n">
        <x:v>0</x:v>
      </x:c>
      <x:c r="R27" s="109"/>
      <x:c r="S27" s="109" t="n">
        <x:v>6867.146</x:v>
      </x:c>
      <x:c r="T27" s="109" t="n">
        <x:v>1138.675</x:v>
      </x:c>
      <x:c r="U27" s="109"/>
    </x:row>
    <x:row r="28">
      <x:c r="A28" t="str">
        <x:v>Portugal</x:v>
      </x:c>
      <x:c r="B28" s="100" t="n">
        <x:v>1002.778</x:v>
      </x:c>
      <x:c r="C28" s="100" t="n">
        <x:v>2996.944</x:v>
      </x:c>
      <x:c r="D28" s="100" t="n">
        <x:v>4459.722</x:v>
      </x:c>
      <x:c r="E28" s="100" t="n">
        <x:v>5950.556</x:v>
      </x:c>
      <x:c r="F28" s="100" t="n">
        <x:v>5812.938</x:v>
      </x:c>
      <x:c r="G28" s="100" t="n">
        <x:v>2531.323</x:v>
      </x:c>
      <x:c r="H28" s="56" t="str"/>
      <x:c r="I28" s="100" t="n">
        <x:v>0</x:v>
      </x:c>
      <x:c r="J28" s="100" t="n">
        <x:v>2462.53</x:v>
      </x:c>
      <x:c r="K28" s="100" t="n">
        <x:v>0</x:v>
      </x:c>
      <x:c r="L28" s="100" t="n">
        <x:v>0</x:v>
      </x:c>
      <x:c r="M28" s="100" t="n">
        <x:v>68.793</x:v>
      </x:c>
      <x:c r="N28" s="100" t="n">
        <x:v>0</x:v>
      </x:c>
      <x:c r="O28" s="100"/>
      <x:c r="P28" s="100"/>
      <x:c r="Q28" s="100" t="n">
        <x:v>0</x:v>
      </x:c>
      <x:c r="R28" s="100"/>
      <x:c r="S28" s="100" t="n">
        <x:v>0</x:v>
      </x:c>
      <x:c r="T28" s="100" t="n">
        <x:v>0</x:v>
      </x:c>
      <x:c r="U28" s="100"/>
    </x:row>
    <x:row r="29">
      <x:c r="A29" s="108" t="str">
        <x:v>Romania</x:v>
      </x:c>
      <x:c r="B29" s="109" t="n">
        <x:v>59631.389</x:v>
      </x:c>
      <x:c r="C29" s="109" t="n">
        <x:v>37622.778</x:v>
      </x:c>
      <x:c r="D29" s="109" t="n">
        <x:v>26850.556</x:v>
      </x:c>
      <x:c r="E29" s="109" t="n">
        <x:v>21659.167</x:v>
      </x:c>
      <x:c r="F29" s="109" t="n">
        <x:v>17068.349</x:v>
      </x:c>
      <x:c r="G29" s="109" t="n">
        <x:v>13350.036</x:v>
      </x:c>
      <x:c r="H29" s="56" t="str"/>
      <x:c r="I29" s="109" t="n">
        <x:v>0</x:v>
      </x:c>
      <x:c r="J29" s="109" t="n">
        <x:v>10403.782</x:v>
      </x:c>
      <x:c r="K29" s="109" t="n">
        <x:v>1373.924</x:v>
      </x:c>
      <x:c r="L29" s="109" t="n">
        <x:v>1373.924</x:v>
      </x:c>
      <x:c r="M29" s="109" t="n">
        <x:v>795.607</x:v>
      </x:c>
      <x:c r="N29" s="109" t="n">
        <x:v>754.909</x:v>
      </x:c>
      <x:c r="O29" s="109"/>
      <x:c r="P29" s="109"/>
      <x:c r="Q29" s="109" t="n">
        <x:v>0</x:v>
      </x:c>
      <x:c r="R29" s="109"/>
      <x:c r="S29" s="109" t="n">
        <x:v>689.153</x:v>
      </x:c>
      <x:c r="T29" s="109" t="n">
        <x:v>0.653</x:v>
      </x:c>
      <x:c r="U29" s="109"/>
    </x:row>
    <x:row r="30">
      <x:c r="A30" t="str">
        <x:v>Sweden</x:v>
      </x:c>
      <x:c r="B30" s="100" t="n">
        <x:v>47757.5</x:v>
      </x:c>
      <x:c r="C30" s="100" t="n">
        <x:v>52025.833</x:v>
      </x:c>
      <x:c r="D30" s="100" t="n">
        <x:v>55753.056</x:v>
      </x:c>
      <x:c r="E30" s="100" t="n">
        <x:v>55101.111</x:v>
      </x:c>
      <x:c r="F30" s="100" t="n">
        <x:v>57663.056</x:v>
      </x:c>
      <x:c r="G30" s="100" t="n">
        <x:v>58620</x:v>
      </x:c>
      <x:c r="H30" s="56" t="str"/>
      <x:c r="I30" s="100" t="n">
        <x:v>0</x:v>
      </x:c>
      <x:c r="J30" s="100" t="n">
        <x:v>647.089</x:v>
      </x:c>
      <x:c r="K30" s="100" t="n">
        <x:v>49.444</x:v>
      </x:c>
      <x:c r="L30" s="100" t="n">
        <x:v>0</x:v>
      </x:c>
      <x:c r="M30" s="100" t="n">
        <x:v>910.882</x:v>
      </x:c>
      <x:c r="N30" s="100" t="n">
        <x:v>37139.968</x:v>
      </x:c>
      <x:c r="O30" s="100"/>
      <x:c r="P30" s="100"/>
      <x:c r="Q30" s="100" t="n">
        <x:v>0</x:v>
      </x:c>
      <x:c r="R30" s="100"/>
      <x:c r="S30" s="100" t="n">
        <x:v>32180.802</x:v>
      </x:c>
      <x:c r="T30" s="100" t="n">
        <x:v>6499.385</x:v>
      </x:c>
      <x:c r="U30" s="100"/>
    </x:row>
    <x:row r="31">
      <x:c r="A31" s="108" t="str">
        <x:v>Slovenia</x:v>
      </x:c>
      <x:c r="B31" s="109" t="n">
        <x:v>2462.5</x:v>
      </x:c>
      <x:c r="C31" s="109" t="n">
        <x:v>2700</x:v>
      </x:c>
      <x:c r="D31" s="109" t="n">
        <x:v>2525.833</x:v>
      </x:c>
      <x:c r="E31" s="109" t="n">
        <x:v>2273.056</x:v>
      </x:c>
      <x:c r="F31" s="109" t="n">
        <x:v>2539.896</x:v>
      </x:c>
      <x:c r="G31" s="109" t="n">
        <x:v>2228.198</x:v>
      </x:c>
      <x:c r="H31" s="56" t="str"/>
      <x:c r="I31" s="109" t="n">
        <x:v>0</x:v>
      </x:c>
      <x:c r="J31" s="109" t="n">
        <x:v>1027.868</x:v>
      </x:c>
      <x:c r="K31" s="109" t="n">
        <x:v>622.572</x:v>
      </x:c>
      <x:c r="L31" s="109" t="n">
        <x:v>237.69</x:v>
      </x:c>
      <x:c r="M31" s="109" t="n">
        <x:v>19.054</x:v>
      </x:c>
      <x:c r="N31" s="109" t="n">
        <x:v>519.189</x:v>
      </x:c>
      <x:c r="O31" s="109"/>
      <x:c r="P31" s="109"/>
      <x:c r="Q31" s="109" t="n">
        <x:v>0</x:v>
      </x:c>
      <x:c r="R31" s="109"/>
      <x:c r="S31" s="109" t="n">
        <x:v>508.686</x:v>
      </x:c>
      <x:c r="T31" s="109" t="n">
        <x:v>39.516</x:v>
      </x:c>
      <x:c r="U31" s="109"/>
    </x:row>
    <x:row r="32">
      <x:c r="A32" t="str">
        <x:v>Slovakia</x:v>
      </x:c>
      <x:c r="B32" s="100" t="n">
        <x:v>10552.222</x:v>
      </x:c>
      <x:c r="C32" s="100" t="n">
        <x:v>14961.111</x:v>
      </x:c>
      <x:c r="D32" s="100" t="n">
        <x:v>11725</x:v>
      </x:c>
      <x:c r="E32" s="100" t="n">
        <x:v>9667.222</x:v>
      </x:c>
      <x:c r="F32" s="100" t="n">
        <x:v>8689.444</x:v>
      </x:c>
      <x:c r="G32" s="100" t="n">
        <x:v>6705.556</x:v>
      </x:c>
      <x:c r="H32" s="56" t="str"/>
      <x:c r="I32" s="100" t="n">
        <x:v>484.722</x:v>
      </x:c>
      <x:c r="J32" s="100" t="n">
        <x:v>3969.444</x:v>
      </x:c>
      <x:c r="K32" s="100" t="n">
        <x:v>438.333</x:v>
      </x:c>
      <x:c r="L32" s="100" t="n">
        <x:v>350.278</x:v>
      </x:c>
      <x:c r="M32" s="100" t="n">
        <x:v>149.722</x:v>
      </x:c>
      <x:c r="N32" s="100" t="n">
        <x:v>1538.611</x:v>
      </x:c>
      <x:c r="O32" s="100"/>
      <x:c r="P32" s="100"/>
      <x:c r="Q32" s="100" t="n">
        <x:v>0.556</x:v>
      </x:c>
      <x:c r="R32" s="100"/>
      <x:c r="S32" s="100" t="n">
        <x:v>1467.778</x:v>
      </x:c>
      <x:c r="T32" s="100" t="n">
        <x:v>81.944</x:v>
      </x:c>
      <x:c r="U32" s="100"/>
    </x:row>
  </x:sheetData>
  <x:mergeCells>
    <x:mergeCell ref="A1:U1"/>
    <x:mergeCell ref="A2:U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52" t="str">
        <x:v>EU-27 | Gross Electricity Production Fuel Mix Share | 5-Year Interval 1999-2024</x:v>
      </x:c>
    </x:row>
    <x:row r="2" ht="20" customHeight="1">
      <x:c r="A2" s="59" t="str">
        <x:v>Formula-based percent share of each fuel in total gross electricity production (GWH)</x:v>
      </x:c>
    </x:row>
    <x:row r="3" ht="22" customHeight="1">
      <x:c r="A3" s="96" t="str">
        <x:v>Fuel / Energy Source</x:v>
      </x:c>
      <x:c r="B3" s="96" t="n">
        <x:v>1999</x:v>
      </x:c>
      <x:c r="C3" s="96" t="n">
        <x:v>2004</x:v>
      </x:c>
      <x:c r="D3" s="96" t="n">
        <x:v>2009</x:v>
      </x:c>
      <x:c r="E3" s="96" t="n">
        <x:v>2014</x:v>
      </x:c>
      <x:c r="F3" s="96" t="n">
        <x:v>2019</x:v>
      </x:c>
      <x:c r="G3" s="96" t="n">
        <x:v>2024</x:v>
      </x:c>
    </x:row>
    <x:row r="4">
      <x:c r="A4" t="str">
        <x:v>Nuclear</x:v>
      </x:c>
      <x:c r="B4" s="116" t="n">
        <x:f>IF(OR('EU27 Electricity (GEP)'!B$5="",'EU27 Electricity (GEP)'!B$4=""),"",IFERROR('EU27 Electricity (GEP)'!B$5/'EU27 Electricity (GEP)'!B$4,""))</x:f>
        <x:v>0.33355851058979036</x:v>
      </x:c>
      <x:c r="C4" s="116" t="n">
        <x:f>IF(OR('EU27 Electricity (GEP)'!C$5="",'EU27 Electricity (GEP)'!C$4=""),"",IFERROR('EU27 Electricity (GEP)'!C$5/'EU27 Electricity (GEP)'!C$4,""))</x:f>
        <x:v>0.3242964743798676</x:v>
      </x:c>
      <x:c r="D4" s="116" t="n">
        <x:f>IF(OR('EU27 Electricity (GEP)'!D$5="",'EU27 Electricity (GEP)'!D$4=""),"",IFERROR('EU27 Electricity (GEP)'!D$5/'EU27 Electricity (GEP)'!D$4,""))</x:f>
        <x:v>0.29500252395323784</x:v>
      </x:c>
      <x:c r="E4" s="116" t="n">
        <x:f>IF(OR('EU27 Electricity (GEP)'!E$5="",'EU27 Electricity (GEP)'!E$4=""),"",IFERROR('EU27 Electricity (GEP)'!E$5/'EU27 Electricity (GEP)'!E$4,""))</x:f>
        <x:v>0.2892668077107943</x:v>
      </x:c>
      <x:c r="F4" s="116" t="n">
        <x:f>IF(OR('EU27 Electricity (GEP)'!F$5="",'EU27 Electricity (GEP)'!F$4=""),"",IFERROR('EU27 Electricity (GEP)'!F$5/'EU27 Electricity (GEP)'!F$4,""))</x:f>
        <x:v>0.26810430942550745</x:v>
      </x:c>
      <x:c r="G4" s="116" t="n">
        <x:f>IF(OR('EU27 Electricity (GEP)'!G$5="",'EU27 Electricity (GEP)'!G$4=""),"",IFERROR('EU27 Electricity (GEP)'!G$5/'EU27 Electricity (GEP)'!G$4,""))</x:f>
        <x:v>0.23384768518768445</x:v>
      </x:c>
    </x:row>
    <x:row r="5">
      <x:c r="A5" s="108" t="str">
        <x:v>Natural Gas</x:v>
      </x:c>
      <x:c r="B5" s="126" t="n">
        <x:f>IF(OR('EU27 Electricity (GEP)'!B$6="",'EU27 Electricity (GEP)'!B$4=""),"",IFERROR('EU27 Electricity (GEP)'!B$6/'EU27 Electricity (GEP)'!B$4,""))</x:f>
        <x:v>0.12024961830855171</x:v>
      </x:c>
      <x:c r="C5" s="126" t="n">
        <x:f>IF(OR('EU27 Electricity (GEP)'!C$6="",'EU27 Electricity (GEP)'!C$4=""),"",IFERROR('EU27 Electricity (GEP)'!C$6/'EU27 Electricity (GEP)'!C$4,""))</x:f>
        <x:v>0.15655231105179</x:v>
      </x:c>
      <x:c r="D5" s="126" t="n">
        <x:f>IF(OR('EU27 Electricity (GEP)'!D$6="",'EU27 Electricity (GEP)'!D$4=""),"",IFERROR('EU27 Electricity (GEP)'!D$6/'EU27 Electricity (GEP)'!D$4,""))</x:f>
        <x:v>0.1970636811457979</x:v>
      </x:c>
      <x:c r="E5" s="126" t="n">
        <x:f>IF(OR('EU27 Electricity (GEP)'!E$6="",'EU27 Electricity (GEP)'!E$4=""),"",IFERROR('EU27 Electricity (GEP)'!E$6/'EU27 Electricity (GEP)'!E$4,""))</x:f>
        <x:v>0.12466456909886399</x:v>
      </x:c>
      <x:c r="F5" s="126" t="n">
        <x:f>IF(OR('EU27 Electricity (GEP)'!F$6="",'EU27 Electricity (GEP)'!F$4=""),"",IFERROR('EU27 Electricity (GEP)'!F$6/'EU27 Electricity (GEP)'!F$4,""))</x:f>
        <x:v>0.19338271163615378</x:v>
      </x:c>
      <x:c r="G5" s="126" t="n">
        <x:f>IF(OR('EU27 Electricity (GEP)'!G$6="",'EU27 Electricity (GEP)'!G$4=""),"",IFERROR('EU27 Electricity (GEP)'!G$6/'EU27 Electricity (GEP)'!G$4,""))</x:f>
        <x:v>0.15752730139694904</x:v>
      </x:c>
    </x:row>
    <x:row r="6">
      <x:c r="A6" t="str">
        <x:v>Solid Fossil Fuels</x:v>
      </x:c>
      <x:c r="B6" s="116" t="n">
        <x:f>IF(OR('EU27 Electricity (GEP)'!B$7="",'EU27 Electricity (GEP)'!B$4=""),"",IFERROR('EU27 Electricity (GEP)'!B$7/'EU27 Electricity (GEP)'!B$4,""))</x:f>
        <x:v>0.2924540838199418</x:v>
      </x:c>
      <x:c r="C6" s="116" t="n">
        <x:f>IF(OR('EU27 Electricity (GEP)'!C$7="",'EU27 Electricity (GEP)'!C$4=""),"",IFERROR('EU27 Electricity (GEP)'!C$7/'EU27 Electricity (GEP)'!C$4,""))</x:f>
        <x:v>0.28666893468139415</x:v>
      </x:c>
      <x:c r="D6" s="116" t="n">
        <x:f>IF(OR('EU27 Electricity (GEP)'!D$7="",'EU27 Electricity (GEP)'!D$4=""),"",IFERROR('EU27 Electricity (GEP)'!D$7/'EU27 Electricity (GEP)'!D$4,""))</x:f>
        <x:v>0.24699846397077405</x:v>
      </x:c>
      <x:c r="E6" s="116" t="n">
        <x:f>IF(OR('EU27 Electricity (GEP)'!E$7="",'EU27 Electricity (GEP)'!E$4=""),"",IFERROR('EU27 Electricity (GEP)'!E$7/'EU27 Electricity (GEP)'!E$4,""))</x:f>
        <x:v>0.24236997055125803</x:v>
      </x:c>
      <x:c r="F6" s="116" t="n">
        <x:f>IF(OR('EU27 Electricity (GEP)'!F$7="",'EU27 Electricity (GEP)'!F$4=""),"",IFERROR('EU27 Electricity (GEP)'!F$7/'EU27 Electricity (GEP)'!F$4,""))</x:f>
        <x:v>0.15602005435520955</x:v>
      </x:c>
      <x:c r="G6" s="116" t="n">
        <x:f>IF(OR('EU27 Electricity (GEP)'!G$7="",'EU27 Electricity (GEP)'!G$4=""),"",IFERROR('EU27 Electricity (GEP)'!G$7/'EU27 Electricity (GEP)'!G$4,""))</x:f>
        <x:v>0.09788570512245327</x:v>
      </x:c>
    </x:row>
    <x:row r="7">
      <x:c r="A7" s="108" t="str">
        <x:v>Lignite</x:v>
      </x:c>
      <x:c r="B7" s="126" t="n">
        <x:f>IF(OR('EU27 Electricity (GEP)'!B$8="",'EU27 Electricity (GEP)'!B$4=""),"",IFERROR('EU27 Electricity (GEP)'!B$8/'EU27 Electricity (GEP)'!B$4,""))</x:f>
        <x:v>0.1252098329768275</x:v>
      </x:c>
      <x:c r="C7" s="126" t="n">
        <x:f>IF(OR('EU27 Electricity (GEP)'!C$8="",'EU27 Electricity (GEP)'!C$4=""),"",IFERROR('EU27 Electricity (GEP)'!C$8/'EU27 Electricity (GEP)'!C$4,""))</x:f>
        <x:v>0.12198029279220769</x:v>
      </x:c>
      <x:c r="D7" s="126" t="n">
        <x:f>IF(OR('EU27 Electricity (GEP)'!D$8="",'EU27 Electricity (GEP)'!D$4=""),"",IFERROR('EU27 Electricity (GEP)'!D$8/'EU27 Electricity (GEP)'!D$4,""))</x:f>
        <x:v>0.11378370426330273</x:v>
      </x:c>
      <x:c r="E7" s="126" t="n">
        <x:f>IF(OR('EU27 Electricity (GEP)'!E$8="",'EU27 Electricity (GEP)'!E$4=""),"",IFERROR('EU27 Electricity (GEP)'!E$8/'EU27 Electricity (GEP)'!E$4,""))</x:f>
        <x:v>0.11230586550655144</x:v>
      </x:c>
      <x:c r="F7" s="126" t="n">
        <x:f>IF(OR('EU27 Electricity (GEP)'!F$8="",'EU27 Electricity (GEP)'!F$4=""),"",IFERROR('EU27 Electricity (GEP)'!F$8/'EU27 Electricity (GEP)'!F$4,""))</x:f>
        <x:v>0.08457797060434169</x:v>
      </x:c>
      <x:c r="G7" s="126" t="n">
        <x:f>IF(OR('EU27 Electricity (GEP)'!G$8="",'EU27 Electricity (GEP)'!G$4=""),"",IFERROR('EU27 Electricity (GEP)'!G$8/'EU27 Electricity (GEP)'!G$4,""))</x:f>
        <x:v>0.059411497032024384</x:v>
      </x:c>
    </x:row>
    <x:row r="8">
      <x:c r="A8" t="str">
        <x:v>Oil &amp; Petroleum excl. Biofuels</x:v>
      </x:c>
      <x:c r="B8" s="116" t="n">
        <x:f>IF(OR('EU27 Electricity (GEP)'!B$9="",'EU27 Electricity (GEP)'!B$4=""),"",IFERROR('EU27 Electricity (GEP)'!B$9/'EU27 Electricity (GEP)'!B$4,""))</x:f>
        <x:v>0.0729695001350825</x:v>
      </x:c>
      <x:c r="C8" s="116" t="n">
        <x:f>IF(OR('EU27 Electricity (GEP)'!C$9="",'EU27 Electricity (GEP)'!C$4=""),"",IFERROR('EU27 Electricity (GEP)'!C$9/'EU27 Electricity (GEP)'!C$4,""))</x:f>
        <x:v>0.04818653884678463</x:v>
      </x:c>
      <x:c r="D8" s="116" t="n">
        <x:f>IF(OR('EU27 Electricity (GEP)'!D$9="",'EU27 Electricity (GEP)'!D$4=""),"",IFERROR('EU27 Electricity (GEP)'!D$9/'EU27 Electricity (GEP)'!D$4,""))</x:f>
        <x:v>0.032061795824932106</x:v>
      </x:c>
      <x:c r="E8" s="116" t="n">
        <x:f>IF(OR('EU27 Electricity (GEP)'!E$9="",'EU27 Electricity (GEP)'!E$4=""),"",IFERROR('EU27 Electricity (GEP)'!E$9/'EU27 Electricity (GEP)'!E$4,""))</x:f>
        <x:v>0.02106063048918805</x:v>
      </x:c>
      <x:c r="F8" s="116" t="n">
        <x:f>IF(OR('EU27 Electricity (GEP)'!F$9="",'EU27 Electricity (GEP)'!F$4=""),"",IFERROR('EU27 Electricity (GEP)'!F$9/'EU27 Electricity (GEP)'!F$4,""))</x:f>
        <x:v>0.017763745779362638</x:v>
      </x:c>
      <x:c r="G8" s="116" t="n">
        <x:f>IF(OR('EU27 Electricity (GEP)'!G$9="",'EU27 Electricity (GEP)'!G$4=""),"",IFERROR('EU27 Electricity (GEP)'!G$9/'EU27 Electricity (GEP)'!G$4,""))</x:f>
        <x:v>0.016052636936098263</x:v>
      </x:c>
    </x:row>
    <x:row r="9">
      <x:c r="A9" s="120" t="str">
        <x:v>Renewables &amp; Biofuels</x:v>
      </x:c>
      <x:c r="B9" s="121" t="n">
        <x:f>IF(OR('EU27 Electricity (GEP)'!B$10="",'EU27 Electricity (GEP)'!B$4=""),"",IFERROR('EU27 Electricity (GEP)'!B$10/'EU27 Electricity (GEP)'!B$4,""))</x:f>
        <x:v>0.14853733640897734</x:v>
      </x:c>
      <x:c r="C9" s="121" t="n">
        <x:f>IF(OR('EU27 Electricity (GEP)'!C$10="",'EU27 Electricity (GEP)'!C$4=""),"",IFERROR('EU27 Electricity (GEP)'!C$10/'EU27 Electricity (GEP)'!C$4,""))</x:f>
        <x:v>0.149455797931886</x:v>
      </x:c>
      <x:c r="D9" s="121" t="n">
        <x:f>IF(OR('EU27 Electricity (GEP)'!D$10="",'EU27 Electricity (GEP)'!D$4=""),"",IFERROR('EU27 Electricity (GEP)'!D$10/'EU27 Electricity (GEP)'!D$4,""))</x:f>
        <x:v>0.19762852998607863</x:v>
      </x:c>
      <x:c r="E9" s="121" t="n">
        <x:f>IF(OR('EU27 Electricity (GEP)'!E$10="",'EU27 Electricity (GEP)'!E$4=""),"",IFERROR('EU27 Electricity (GEP)'!E$10/'EU27 Electricity (GEP)'!E$4,""))</x:f>
        <x:v>0.2871160293645604</x:v>
      </x:c>
      <x:c r="F9" s="121" t="n">
        <x:f>IF(OR('EU27 Electricity (GEP)'!F$10="",'EU27 Electricity (GEP)'!F$4=""),"",IFERROR('EU27 Electricity (GEP)'!F$10/'EU27 Electricity (GEP)'!F$4,""))</x:f>
        <x:v>0.33326422191561494</x:v>
      </x:c>
      <x:c r="G9" s="121" t="n">
        <x:f>IF(OR('EU27 Electricity (GEP)'!G$10="",'EU27 Electricity (GEP)'!G$4=""),"",IFERROR('EU27 Electricity (GEP)'!G$10/'EU27 Electricity (GEP)'!G$4,""))</x:f>
        <x:v>0.4651994927119834</x:v>
      </x:c>
    </x:row>
    <x:row r="10">
      <x:c r="A10" t="str">
        <x:v>Hydro</x:v>
      </x:c>
      <x:c r="B10" s="116" t="n">
        <x:f>IF(OR('EU27 Electricity (GEP)'!B$11="",'EU27 Electricity (GEP)'!B$4=""),"",IFERROR('EU27 Electricity (GEP)'!B$11/'EU27 Electricity (GEP)'!B$4,""))</x:f>
        <x:v>0.13116962016417688</x:v>
      </x:c>
      <x:c r="C10" s="116" t="n">
        <x:f>IF(OR('EU27 Electricity (GEP)'!C$11="",'EU27 Electricity (GEP)'!C$4=""),"",IFERROR('EU27 Electricity (GEP)'!C$11/'EU27 Electricity (GEP)'!C$4,""))</x:f>
        <x:v>0.10944725353758471</x:v>
      </x:c>
      <x:c r="D10" s="116" t="n">
        <x:f>IF(OR('EU27 Electricity (GEP)'!D$11="",'EU27 Electricity (GEP)'!D$4=""),"",IFERROR('EU27 Electricity (GEP)'!D$11/'EU27 Electricity (GEP)'!D$4,""))</x:f>
        <x:v>0.11469314959031007</x:v>
      </x:c>
      <x:c r="E10" s="116" t="n">
        <x:f>IF(OR('EU27 Electricity (GEP)'!E$11="",'EU27 Electricity (GEP)'!E$4=""),"",IFERROR('EU27 Electricity (GEP)'!E$11/'EU27 Electricity (GEP)'!E$4,""))</x:f>
        <x:v>0.12619455179752645</x:v>
      </x:c>
      <x:c r="F10" s="116" t="n">
        <x:f>IF(OR('EU27 Electricity (GEP)'!F$11="",'EU27 Electricity (GEP)'!F$4=""),"",IFERROR('EU27 Electricity (GEP)'!F$11/'EU27 Electricity (GEP)'!F$4,""))</x:f>
        <x:v>0.10910033234332583</x:v>
      </x:c>
      <x:c r="G10" s="116" t="n">
        <x:f>IF(OR('EU27 Electricity (GEP)'!G$11="",'EU27 Electricity (GEP)'!G$4=""),"",IFERROR('EU27 Electricity (GEP)'!G$11/'EU27 Electricity (GEP)'!G$4,""))</x:f>
        <x:v>0.12772211702629216</x:v>
      </x:c>
    </x:row>
    <x:row r="11">
      <x:c r="A11" s="108" t="str">
        <x:v>Wind</x:v>
      </x:c>
      <x:c r="B11" s="126" t="n">
        <x:f>IF(OR('EU27 Electricity (GEP)'!B$12="",'EU27 Electricity (GEP)'!B$4=""),"",IFERROR('EU27 Electricity (GEP)'!B$12/'EU27 Electricity (GEP)'!B$4,""))</x:f>
        <x:v>0.005203521966803967</x:v>
      </x:c>
      <x:c r="C11" s="126" t="n">
        <x:f>IF(OR('EU27 Electricity (GEP)'!C$12="",'EU27 Electricity (GEP)'!C$4=""),"",IFERROR('EU27 Electricity (GEP)'!C$12/'EU27 Electricity (GEP)'!C$4,""))</x:f>
        <x:v>0.019812301886178885</x:v>
      </x:c>
      <x:c r="D11" s="126" t="n">
        <x:f>IF(OR('EU27 Electricity (GEP)'!D$12="",'EU27 Electricity (GEP)'!D$4=""),"",IFERROR('EU27 Electricity (GEP)'!D$12/'EU27 Electricity (GEP)'!D$4,""))</x:f>
        <x:v>0.04185120220487737</x:v>
      </x:c>
      <x:c r="E11" s="126" t="n">
        <x:f>IF(OR('EU27 Electricity (GEP)'!E$12="",'EU27 Electricity (GEP)'!E$4=""),"",IFERROR('EU27 Electricity (GEP)'!E$12/'EU27 Electricity (GEP)'!E$4,""))</x:f>
        <x:v>0.07500315011745907</x:v>
      </x:c>
      <x:c r="F11" s="126" t="n">
        <x:f>IF(OR('EU27 Electricity (GEP)'!F$12="",'EU27 Electricity (GEP)'!F$4=""),"",IFERROR('EU27 Electricity (GEP)'!F$12/'EU27 Electricity (GEP)'!F$4,""))</x:f>
        <x:v>0.1241328962783896</x:v>
      </x:c>
      <x:c r="G11" s="126" t="n">
        <x:f>IF(OR('EU27 Electricity (GEP)'!G$12="",'EU27 Electricity (GEP)'!G$4=""),"",IFERROR('EU27 Electricity (GEP)'!G$12/'EU27 Electricity (GEP)'!G$4,""))</x:f>
        <x:v>0.17123086020905792</x:v>
      </x:c>
    </x:row>
    <x:row r="12">
      <x:c r="A12" t="str">
        <x:v>Solar Thermal</x:v>
      </x:c>
      <x:c r="B12" s="116" t="str">
        <x:f>IF(OR('EU27 Electricity (GEP)'!B$13="",'EU27 Electricity (GEP)'!B$4=""),"",IFERROR('EU27 Electricity (GEP)'!B$13/'EU27 Electricity (GEP)'!B$4,""))</x:f>
      </x:c>
      <x:c r="C12" s="116" t="str">
        <x:f>IF(OR('EU27 Electricity (GEP)'!C$13="",'EU27 Electricity (GEP)'!C$4=""),"",IFERROR('EU27 Electricity (GEP)'!C$13/'EU27 Electricity (GEP)'!C$4,""))</x:f>
      </x:c>
      <x:c r="D12" s="116" t="n">
        <x:f>IF(OR('EU27 Electricity (GEP)'!D$13="",'EU27 Electricity (GEP)'!D$4=""),"",IFERROR('EU27 Electricity (GEP)'!D$13/'EU27 Electricity (GEP)'!D$4,""))</x:f>
        <x:v>0.000036834547160404374</x:v>
      </x:c>
      <x:c r="E12" s="116" t="n">
        <x:f>IF(OR('EU27 Electricity (GEP)'!E$13="",'EU27 Electricity (GEP)'!E$4=""),"",IFERROR('EU27 Electricity (GEP)'!E$13/'EU27 Electricity (GEP)'!E$4,""))</x:f>
        <x:v>0.001941904253060795</x:v>
      </x:c>
      <x:c r="F12" s="116" t="n">
        <x:f>IF(OR('EU27 Electricity (GEP)'!F$13="",'EU27 Electricity (GEP)'!F$4=""),"",IFERROR('EU27 Electricity (GEP)'!F$13/'EU27 Electricity (GEP)'!F$4,""))</x:f>
        <x:v>0.00199080285722226</x:v>
      </x:c>
      <x:c r="G12" s="116" t="n">
        <x:f>IF(OR('EU27 Electricity (GEP)'!G$13="",'EU27 Electricity (GEP)'!G$4=""),"",IFERROR('EU27 Electricity (GEP)'!G$13/'EU27 Electricity (GEP)'!G$4,""))</x:f>
        <x:v>0.0016344889550507723</x:v>
      </x:c>
    </x:row>
    <x:row r="13">
      <x:c r="A13" s="108" t="str">
        <x:v>Solar Photovoltaic</x:v>
      </x:c>
      <x:c r="B13" s="126" t="n">
        <x:f>IF(OR('EU27 Electricity (GEP)'!B$14="",'EU27 Electricity (GEP)'!B$4=""),"",IFERROR('EU27 Electricity (GEP)'!B$14/'EU27 Electricity (GEP)'!B$4,""))</x:f>
        <x:v>0.00003380252204690471</x:v>
      </x:c>
      <x:c r="C13" s="126" t="n">
        <x:f>IF(OR('EU27 Electricity (GEP)'!C$14="",'EU27 Electricity (GEP)'!C$4=""),"",IFERROR('EU27 Electricity (GEP)'!C$14/'EU27 Electricity (GEP)'!C$4,""))</x:f>
        <x:v>0.00024028288434992733</x:v>
      </x:c>
      <x:c r="D13" s="126" t="n">
        <x:f>IF(OR('EU27 Electricity (GEP)'!D$14="",'EU27 Electricity (GEP)'!D$4=""),"",IFERROR('EU27 Electricity (GEP)'!D$14/'EU27 Electricity (GEP)'!D$4,""))</x:f>
        <x:v>0.004949769586318067</x:v>
      </x:c>
      <x:c r="E13" s="126" t="n">
        <x:f>IF(OR('EU27 Electricity (GEP)'!E$14="",'EU27 Electricity (GEP)'!E$4=""),"",IFERROR('EU27 Electricity (GEP)'!E$14/'EU27 Electricity (GEP)'!E$4,""))</x:f>
        <x:v>0.03135990288490126</x:v>
      </x:c>
      <x:c r="F13" s="126" t="n">
        <x:f>IF(OR('EU27 Electricity (GEP)'!F$14="",'EU27 Electricity (GEP)'!F$4=""),"",IFERROR('EU27 Electricity (GEP)'!F$14/'EU27 Electricity (GEP)'!F$4,""))</x:f>
        <x:v>0.040820789388629965</x:v>
      </x:c>
      <x:c r="G13" s="126" t="n">
        <x:f>IF(OR('EU27 Electricity (GEP)'!G$14="",'EU27 Electricity (GEP)'!G$4=""),"",IFERROR('EU27 Electricity (GEP)'!G$14/'EU27 Electricity (GEP)'!G$4,""))</x:f>
        <x:v>0.1068851000793224</x:v>
      </x:c>
    </x:row>
    <x:row r="14">
      <x:c r="A14" t="str">
        <x:v>Bioenergy</x:v>
      </x:c>
      <x:c r="B14" s="116" t="str">
        <x:f>IF(OR('EU27 Electricity (GEP)'!B$15="",'EU27 Electricity (GEP)'!B$4=""),"",IFERROR('EU27 Electricity (GEP)'!B$15/'EU27 Electricity (GEP)'!B$4,""))</x:f>
      </x:c>
      <x:c r="C14" s="116" t="str">
        <x:f>IF(OR('EU27 Electricity (GEP)'!C$15="",'EU27 Electricity (GEP)'!C$4=""),"",IFERROR('EU27 Electricity (GEP)'!C$15/'EU27 Electricity (GEP)'!C$4,""))</x:f>
      </x:c>
      <x:c r="D14" s="116" t="str">
        <x:f>IF(OR('EU27 Electricity (GEP)'!D$15="",'EU27 Electricity (GEP)'!D$4=""),"",IFERROR('EU27 Electricity (GEP)'!D$15/'EU27 Electricity (GEP)'!D$4,""))</x:f>
      </x:c>
      <x:c r="E14" s="116" t="str">
        <x:f>IF(OR('EU27 Electricity (GEP)'!E$15="",'EU27 Electricity (GEP)'!E$4=""),"",IFERROR('EU27 Electricity (GEP)'!E$15/'EU27 Electricity (GEP)'!E$4,""))</x:f>
      </x:c>
      <x:c r="F14" s="116" t="str">
        <x:f>IF(OR('EU27 Electricity (GEP)'!F$15="",'EU27 Electricity (GEP)'!F$4=""),"",IFERROR('EU27 Electricity (GEP)'!F$15/'EU27 Electricity (GEP)'!F$4,""))</x:f>
      </x:c>
      <x:c r="G14" s="116" t="str">
        <x:f>IF(OR('EU27 Electricity (GEP)'!G$15="",'EU27 Electricity (GEP)'!G$4=""),"",IFERROR('EU27 Electricity (GEP)'!G$15/'EU27 Electricity (GEP)'!G$4,""))</x:f>
      </x:c>
    </x:row>
    <x:row r="15">
      <x:c r="A15" s="108" t="str">
        <x:v>Waste</x:v>
      </x:c>
      <x:c r="B15" s="126" t="n">
        <x:f>IF(OR('EU27 Electricity (GEP)'!B$16="",'EU27 Electricity (GEP)'!B$4=""),"",IFERROR('EU27 Electricity (GEP)'!B$16/'EU27 Electricity (GEP)'!B$4,""))</x:f>
        <x:v>0.004063200308978512</x:v>
      </x:c>
      <x:c r="C15" s="126" t="n">
        <x:f>IF(OR('EU27 Electricity (GEP)'!C$16="",'EU27 Electricity (GEP)'!C$4=""),"",IFERROR('EU27 Electricity (GEP)'!C$16/'EU27 Electricity (GEP)'!C$4,""))</x:f>
        <x:v>0.0035857105012542796</x:v>
      </x:c>
      <x:c r="D15" s="126" t="n">
        <x:f>IF(OR('EU27 Electricity (GEP)'!D$16="",'EU27 Electricity (GEP)'!D$4=""),"",IFERROR('EU27 Electricity (GEP)'!D$16/'EU27 Electricity (GEP)'!D$4,""))</x:f>
        <x:v>0.00560387246815505</x:v>
      </x:c>
      <x:c r="E15" s="126" t="n">
        <x:f>IF(OR('EU27 Electricity (GEP)'!E$16="",'EU27 Electricity (GEP)'!E$4=""),"",IFERROR('EU27 Electricity (GEP)'!E$16/'EU27 Electricity (GEP)'!E$4,""))</x:f>
        <x:v>0.006792166129194966</x:v>
      </x:c>
      <x:c r="F15" s="126" t="n">
        <x:f>IF(OR('EU27 Electricity (GEP)'!F$16="",'EU27 Electricity (GEP)'!F$4=""),"",IFERROR('EU27 Electricity (GEP)'!F$16/'EU27 Electricity (GEP)'!F$4,""))</x:f>
        <x:v>0.007446876057185985</x:v>
      </x:c>
      <x:c r="G15" s="126" t="n">
        <x:f>IF(OR('EU27 Electricity (GEP)'!G$16="",'EU27 Electricity (GEP)'!G$4=""),"",IFERROR('EU27 Electricity (GEP)'!G$16/'EU27 Electricity (GEP)'!G$4,""))</x:f>
        <x:v>0.007124444023840332</x:v>
      </x:c>
    </x:row>
    <x:row r="16">
      <x:c r="A16" t="str">
        <x:v>Batteries</x:v>
      </x:c>
      <x:c r="B16" s="116" t="str">
        <x:f>IF(OR('EU27 Electricity (GEP)'!B$17="",'EU27 Electricity (GEP)'!B$4=""),"",IFERROR('EU27 Electricity (GEP)'!B$17/'EU27 Electricity (GEP)'!B$4,""))</x:f>
      </x:c>
      <x:c r="C16" s="116" t="str">
        <x:f>IF(OR('EU27 Electricity (GEP)'!C$17="",'EU27 Electricity (GEP)'!C$4=""),"",IFERROR('EU27 Electricity (GEP)'!C$17/'EU27 Electricity (GEP)'!C$4,""))</x:f>
      </x:c>
      <x:c r="D16" s="116" t="str">
        <x:f>IF(OR('EU27 Electricity (GEP)'!D$17="",'EU27 Electricity (GEP)'!D$4=""),"",IFERROR('EU27 Electricity (GEP)'!D$17/'EU27 Electricity (GEP)'!D$4,""))</x:f>
      </x:c>
      <x:c r="E16" s="116" t="str">
        <x:f>IF(OR('EU27 Electricity (GEP)'!E$17="",'EU27 Electricity (GEP)'!E$4=""),"",IFERROR('EU27 Electricity (GEP)'!E$17/'EU27 Electricity (GEP)'!E$4,""))</x:f>
      </x:c>
      <x:c r="F16" s="116" t="str">
        <x:f>IF(OR('EU27 Electricity (GEP)'!F$17="",'EU27 Electricity (GEP)'!F$4=""),"",IFERROR('EU27 Electricity (GEP)'!F$17/'EU27 Electricity (GEP)'!F$4,""))</x:f>
      </x:c>
      <x:c r="G16" s="116" t="n">
        <x:f>IF(OR('EU27 Electricity (GEP)'!G$17="",'EU27 Electricity (GEP)'!G$4=""),"",IFERROR('EU27 Electricity (GEP)'!G$17/'EU27 Electricity (GEP)'!G$4,""))</x:f>
        <x:v>0.00037453850900825443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52" t="str">
        <x:v>EU-27 | Gross Electricity Production Trend | 5-Year Interval 1999-2024</x:v>
      </x:c>
    </x:row>
    <x:row r="2" ht="20" customHeight="1">
      <x:c r="A2" s="59" t="str">
        <x:v>Key fuel sources in GWH, followed by formula-based growth vs base year where base is non-zero</x:v>
      </x:c>
    </x:row>
    <x:row r="3" ht="22" customHeight="1">
      <x:c r="A3" s="96" t="str">
        <x:v>Fuel / Source</x:v>
      </x:c>
      <x:c r="B3" s="96" t="n">
        <x:v>1999</x:v>
      </x:c>
      <x:c r="C3" s="96" t="n">
        <x:v>2004</x:v>
      </x:c>
      <x:c r="D3" s="96" t="n">
        <x:v>2009</x:v>
      </x:c>
      <x:c r="E3" s="96" t="n">
        <x:v>2014</x:v>
      </x:c>
      <x:c r="F3" s="96" t="n">
        <x:v>2019</x:v>
      </x:c>
      <x:c r="G3" s="96" t="n">
        <x:v>2024</x:v>
      </x:c>
    </x:row>
    <x:row r="4">
      <x:c r="A4" s="36" t="str">
        <x:v>TOTAL</x:v>
      </x:c>
      <x:c r="B4" s="75" t="n">
        <x:f>IF('EU27 Electricity (GEP)'!B4="","",'EU27 Electricity (GEP)'!B4)</x:f>
        <x:v>2543035.099</x:v>
      </x:c>
      <x:c r="C4" s="75" t="n">
        <x:f>IF('EU27 Electricity (GEP)'!C4="","",'EU27 Electricity (GEP)'!C4)</x:f>
        <x:v>2862929.675</x:v>
      </x:c>
      <x:c r="D4" s="75" t="n">
        <x:f>IF('EU27 Electricity (GEP)'!D4="","",'EU27 Electricity (GEP)'!D4)</x:f>
        <x:v>2796287.94</x:v>
      </x:c>
      <x:c r="E4" s="75" t="n">
        <x:f>IF('EU27 Electricity (GEP)'!E4="","",'EU27 Electricity (GEP)'!E4)</x:f>
        <x:v>2808998.431</x:v>
      </x:c>
      <x:c r="F4" s="75" t="n">
        <x:f>IF('EU27 Electricity (GEP)'!F4="","",'EU27 Electricity (GEP)'!F4)</x:f>
        <x:v>2854627.207</x:v>
      </x:c>
      <x:c r="G4" s="75" t="n">
        <x:f>IF('EU27 Electricity (GEP)'!G4="","",'EU27 Electricity (GEP)'!G4)</x:f>
        <x:v>2777644.955</x:v>
      </x:c>
    </x:row>
    <x:row r="5">
      <x:c r="A5" s="27" t="str">
        <x:v>Nuclear</x:v>
      </x:c>
      <x:c r="B5" s="72" t="n">
        <x:f>IF('EU27 Electricity (GEP)'!B5="","",'EU27 Electricity (GEP)'!B5)</x:f>
        <x:v>848251</x:v>
      </x:c>
      <x:c r="C5" s="72" t="n">
        <x:f>IF('EU27 Electricity (GEP)'!C5="","",'EU27 Electricity (GEP)'!C5)</x:f>
        <x:v>928438</x:v>
      </x:c>
      <x:c r="D5" s="72" t="n">
        <x:f>IF('EU27 Electricity (GEP)'!D5="","",'EU27 Electricity (GEP)'!D5)</x:f>
        <x:v>824912</x:v>
      </x:c>
      <x:c r="E5" s="72" t="n">
        <x:f>IF('EU27 Electricity (GEP)'!E5="","",'EU27 Electricity (GEP)'!E5)</x:f>
        <x:v>812550.009</x:v>
      </x:c>
      <x:c r="F5" s="72" t="n">
        <x:f>IF('EU27 Electricity (GEP)'!F5="","",'EU27 Electricity (GEP)'!F5)</x:f>
        <x:v>765337.856</x:v>
      </x:c>
      <x:c r="G5" s="72" t="n">
        <x:f>IF('EU27 Electricity (GEP)'!G5="","",'EU27 Electricity (GEP)'!G5)</x:f>
        <x:v>649545.843</x:v>
      </x:c>
    </x:row>
    <x:row r="6">
      <x:c r="A6" s="86" t="str">
        <x:v>Natural Gas</x:v>
      </x:c>
      <x:c r="B6" s="87" t="n">
        <x:f>IF('EU27 Electricity (GEP)'!B6="","",'EU27 Electricity (GEP)'!B6)</x:f>
        <x:v>305799</x:v>
      </x:c>
      <x:c r="C6" s="87" t="n">
        <x:f>IF('EU27 Electricity (GEP)'!C6="","",'EU27 Electricity (GEP)'!C6)</x:f>
        <x:v>448198.257</x:v>
      </x:c>
      <x:c r="D6" s="87" t="n">
        <x:f>IF('EU27 Electricity (GEP)'!D6="","",'EU27 Electricity (GEP)'!D6)</x:f>
        <x:v>551046.795</x:v>
      </x:c>
      <x:c r="E6" s="87" t="n">
        <x:f>IF('EU27 Electricity (GEP)'!E6="","",'EU27 Electricity (GEP)'!E6)</x:f>
        <x:v>350182.579</x:v>
      </x:c>
      <x:c r="F6" s="87" t="n">
        <x:f>IF('EU27 Electricity (GEP)'!F6="","",'EU27 Electricity (GEP)'!F6)</x:f>
        <x:v>552035.55</x:v>
      </x:c>
      <x:c r="G6" s="87" t="n">
        <x:f>IF('EU27 Electricity (GEP)'!G6="","",'EU27 Electricity (GEP)'!G6)</x:f>
        <x:v>437554.914</x:v>
      </x:c>
    </x:row>
    <x:row r="7">
      <x:c r="A7" s="27" t="str">
        <x:v>Solid Fossil Fuels</x:v>
      </x:c>
      <x:c r="B7" s="72" t="n">
        <x:f>IF('EU27 Electricity (GEP)'!B7="","",'EU27 Electricity (GEP)'!B7)</x:f>
        <x:v>743721</x:v>
      </x:c>
      <x:c r="C7" s="72" t="n">
        <x:f>IF('EU27 Electricity (GEP)'!C7="","",'EU27 Electricity (GEP)'!C7)</x:f>
        <x:v>820713</x:v>
      </x:c>
      <x:c r="D7" s="72" t="n">
        <x:f>IF('EU27 Electricity (GEP)'!D7="","",'EU27 Electricity (GEP)'!D7)</x:f>
        <x:v>690678.826</x:v>
      </x:c>
      <x:c r="E7" s="72" t="n">
        <x:f>IF('EU27 Electricity (GEP)'!E7="","",'EU27 Electricity (GEP)'!E7)</x:f>
        <x:v>680816.867</x:v>
      </x:c>
      <x:c r="F7" s="72" t="n">
        <x:f>IF('EU27 Electricity (GEP)'!F7="","",'EU27 Electricity (GEP)'!F7)</x:f>
        <x:v>445379.092</x:v>
      </x:c>
      <x:c r="G7" s="72" t="n">
        <x:f>IF('EU27 Electricity (GEP)'!G7="","",'EU27 Electricity (GEP)'!G7)</x:f>
        <x:v>271891.735</x:v>
      </x:c>
    </x:row>
    <x:row r="8">
      <x:c r="A8" s="80" t="str">
        <x:v>Renewables &amp; Biofuels</x:v>
      </x:c>
      <x:c r="B8" s="81" t="n">
        <x:f>IF('EU27 Electricity (GEP)'!B10="","",'EU27 Electricity (GEP)'!B10)</x:f>
        <x:v>377735.66</x:v>
      </x:c>
      <x:c r="C8" s="81" t="n">
        <x:f>IF('EU27 Electricity (GEP)'!C10="","",'EU27 Electricity (GEP)'!C10)</x:f>
        <x:v>427881.439</x:v>
      </x:c>
      <x:c r="D8" s="81" t="n">
        <x:f>IF('EU27 Electricity (GEP)'!D10="","",'EU27 Electricity (GEP)'!D10)</x:f>
        <x:v>552626.275</x:v>
      </x:c>
      <x:c r="E8" s="81" t="n">
        <x:f>IF('EU27 Electricity (GEP)'!E10="","",'EU27 Electricity (GEP)'!E10)</x:f>
        <x:v>806508.476</x:v>
      </x:c>
      <x:c r="F8" s="81" t="n">
        <x:f>IF('EU27 Electricity (GEP)'!F10="","",'EU27 Electricity (GEP)'!F10)</x:f>
        <x:v>951345.115</x:v>
      </x:c>
      <x:c r="G8" s="81" t="n">
        <x:f>IF('EU27 Electricity (GEP)'!G10="","",'EU27 Electricity (GEP)'!G10)</x:f>
        <x:v>1292159.024</x:v>
      </x:c>
    </x:row>
    <x:row r="9">
      <x:c r="A9" s="27" t="str">
        <x:v>Wind</x:v>
      </x:c>
      <x:c r="B9" s="72" t="n">
        <x:f>IF('EU27 Electricity (GEP)'!B12="","",'EU27 Electricity (GEP)'!B12)</x:f>
        <x:v>13232.739</x:v>
      </x:c>
      <x:c r="C9" s="72" t="n">
        <x:f>IF('EU27 Electricity (GEP)'!C12="","",'EU27 Electricity (GEP)'!C12)</x:f>
        <x:v>56721.227</x:v>
      </x:c>
      <x:c r="D9" s="72" t="n">
        <x:f>IF('EU27 Electricity (GEP)'!D12="","",'EU27 Electricity (GEP)'!D12)</x:f>
        <x:v>117028.012</x:v>
      </x:c>
      <x:c r="E9" s="72" t="n">
        <x:f>IF('EU27 Electricity (GEP)'!E12="","",'EU27 Electricity (GEP)'!E12)</x:f>
        <x:v>210683.731</x:v>
      </x:c>
      <x:c r="F9" s="72" t="n">
        <x:f>IF('EU27 Electricity (GEP)'!F12="","",'EU27 Electricity (GEP)'!F12)</x:f>
        <x:v>354353.143</x:v>
      </x:c>
      <x:c r="G9" s="72" t="n">
        <x:f>IF('EU27 Electricity (GEP)'!G12="","",'EU27 Electricity (GEP)'!G12)</x:f>
        <x:v>475618.535</x:v>
      </x:c>
    </x:row>
    <x:row r="10">
      <x:c r="A10" s="86" t="str">
        <x:v>Solar Photovoltaic</x:v>
      </x:c>
      <x:c r="B10" s="87" t="n">
        <x:f>IF('EU27 Electricity (GEP)'!B14="","",'EU27 Electricity (GEP)'!B14)</x:f>
        <x:v>85.961</x:v>
      </x:c>
      <x:c r="C10" s="87" t="n">
        <x:f>IF('EU27 Electricity (GEP)'!C14="","",'EU27 Electricity (GEP)'!C14)</x:f>
        <x:v>687.913</x:v>
      </x:c>
      <x:c r="D10" s="87" t="n">
        <x:f>IF('EU27 Electricity (GEP)'!D14="","",'EU27 Electricity (GEP)'!D14)</x:f>
        <x:v>13840.981</x:v>
      </x:c>
      <x:c r="E10" s="87" t="n">
        <x:f>IF('EU27 Electricity (GEP)'!E14="","",'EU27 Electricity (GEP)'!E14)</x:f>
        <x:v>88089.918</x:v>
      </x:c>
      <x:c r="F10" s="87" t="n">
        <x:f>IF('EU27 Electricity (GEP)'!F14="","",'EU27 Electricity (GEP)'!F14)</x:f>
        <x:v>116528.136</x:v>
      </x:c>
      <x:c r="G10" s="87" t="n">
        <x:f>IF('EU27 Electricity (GEP)'!G14="","",'EU27 Electricity (GEP)'!G14)</x:f>
        <x:v>296888.859</x:v>
      </x:c>
    </x:row>
    <x:row r="11">
      <x:c r="A11" s="27" t="str">
        <x:v>Bioenergy</x:v>
      </x:c>
      <x:c r="B11" s="72" t="str">
        <x:f>IF('EU27 Electricity (GEP)'!B15="","",'EU27 Electricity (GEP)'!B15)</x:f>
      </x:c>
      <x:c r="C11" s="72" t="str">
        <x:f>IF('EU27 Electricity (GEP)'!C15="","",'EU27 Electricity (GEP)'!C15)</x:f>
      </x:c>
      <x:c r="D11" s="72" t="str">
        <x:f>IF('EU27 Electricity (GEP)'!D15="","",'EU27 Electricity (GEP)'!D15)</x:f>
      </x:c>
      <x:c r="E11" s="72" t="str">
        <x:f>IF('EU27 Electricity (GEP)'!E15="","",'EU27 Electricity (GEP)'!E15)</x:f>
      </x:c>
      <x:c r="F11" s="72" t="str">
        <x:f>IF('EU27 Electricity (GEP)'!F15="","",'EU27 Electricity (GEP)'!F15)</x:f>
      </x:c>
      <x:c r="G11" s="72" t="str">
        <x:f>IF('EU27 Electricity (GEP)'!G15="","",'EU27 Electricity (GEP)'!G15)</x:f>
      </x:c>
    </x:row>
    <x:row r="13">
      <x:c r="A13" s="128" t="str">
        <x:v>-- Growth vs base year --</x:v>
      </x:c>
      <x:c r="B13" s="128" t="str"/>
      <x:c r="C13" s="128" t="str"/>
      <x:c r="D13" s="128" t="str"/>
      <x:c r="E13" s="128" t="str"/>
      <x:c r="F13" s="128" t="str"/>
      <x:c r="G13" s="128" t="str"/>
    </x:row>
    <x:row r="14">
      <x:c r="A14" s="108" t="str">
        <x:v>TOTAL (% vs 1999)</x:v>
      </x:c>
      <x:c r="B14" s="126" t="n">
        <x:f>IF($B4=0,"",IFERROR(B4/$B4-1,""))</x:f>
        <x:v>0</x:v>
      </x:c>
      <x:c r="C14" s="126" t="n">
        <x:f>IF($B4=0,"",IFERROR(C4/$B4-1,""))</x:f>
        <x:v>0.12579243445196342</x:v>
      </x:c>
      <x:c r="D14" s="126" t="n">
        <x:f>IF($B4=0,"",IFERROR(D4/$B4-1,""))</x:f>
        <x:v>0.09958684451488176</x:v>
      </x:c>
      <x:c r="E14" s="126" t="n">
        <x:f>IF($B4=0,"",IFERROR(E4/$B4-1,""))</x:f>
        <x:v>0.10458500242666124</x:v>
      </x:c>
      <x:c r="F14" s="126" t="n">
        <x:f>IF($B4=0,"",IFERROR(F4/$B4-1,""))</x:f>
        <x:v>0.1225276474251289</x:v>
      </x:c>
      <x:c r="G14" s="126" t="n">
        <x:f>IF($B4=0,"",IFERROR(G4/$B4-1,""))</x:f>
        <x:v>0.09225584660324038</x:v>
      </x:c>
    </x:row>
    <x:row r="15">
      <x:c r="A15" t="str">
        <x:v>Nuclear (% vs 1999)</x:v>
      </x:c>
      <x:c r="B15" s="116" t="n">
        <x:f>IF($B5=0,"",IFERROR(B5/$B5-1,""))</x:f>
        <x:v>0</x:v>
      </x:c>
      <x:c r="C15" s="116" t="n">
        <x:f>IF($B5=0,"",IFERROR(C5/$B5-1,""))</x:f>
        <x:v>0.09453216088162586</x:v>
      </x:c>
      <x:c r="D15" s="116" t="n">
        <x:f>IF($B5=0,"",IFERROR(D5/$B5-1,""))</x:f>
        <x:v>-0.027514261698483145</x:v>
      </x:c>
      <x:c r="E15" s="116" t="n">
        <x:f>IF($B5=0,"",IFERROR(E5/$B5-1,""))</x:f>
        <x:v>-0.042087767653678054</x:v>
      </x:c>
      <x:c r="F15" s="116" t="n">
        <x:f>IF($B5=0,"",IFERROR(F5/$B5-1,""))</x:f>
        <x:v>-0.09774600206778417</x:v>
      </x:c>
      <x:c r="G15" s="116" t="n">
        <x:f>IF($B5=0,"",IFERROR(G5/$B5-1,""))</x:f>
        <x:v>-0.2342527824900884</x:v>
      </x:c>
    </x:row>
    <x:row r="16">
      <x:c r="A16" s="108" t="str">
        <x:v>Natural Gas (% vs 1999)</x:v>
      </x:c>
      <x:c r="B16" s="126" t="n">
        <x:f>IF($B6=0,"",IFERROR(B6/$B6-1,""))</x:f>
        <x:v>0</x:v>
      </x:c>
      <x:c r="C16" s="126" t="n">
        <x:f>IF($B6=0,"",IFERROR(C6/$B6-1,""))</x:f>
        <x:v>0.4656629256472389</x:v>
      </x:c>
      <x:c r="D16" s="126" t="n">
        <x:f>IF($B6=0,"",IFERROR(D6/$B6-1,""))</x:f>
        <x:v>0.8019901798240021</x:v>
      </x:c>
      <x:c r="E16" s="126" t="n">
        <x:f>IF($B6=0,"",IFERROR(E6/$B6-1,""))</x:f>
        <x:v>0.14513971268709192</x:v>
      </x:c>
      <x:c r="F16" s="126" t="n">
        <x:f>IF($B6=0,"",IFERROR(F6/$B6-1,""))</x:f>
        <x:v>0.8052235291809327</x:v>
      </x:c>
      <x:c r="G16" s="126" t="n">
        <x:f>IF($B6=0,"",IFERROR(G6/$B6-1,""))</x:f>
        <x:v>0.4308578968538157</x:v>
      </x:c>
    </x:row>
    <x:row r="17">
      <x:c r="A17" t="str">
        <x:v>Solid Fossil Fuels (% vs 1999)</x:v>
      </x:c>
      <x:c r="B17" s="116" t="n">
        <x:f>IF($B7=0,"",IFERROR(B7/$B7-1,""))</x:f>
        <x:v>0</x:v>
      </x:c>
      <x:c r="C17" s="116" t="n">
        <x:f>IF($B7=0,"",IFERROR(C7/$B7-1,""))</x:f>
        <x:v>0.1035226919772334</x:v>
      </x:c>
      <x:c r="D17" s="116" t="n">
        <x:f>IF($B7=0,"",IFERROR(D7/$B7-1,""))</x:f>
        <x:v>-0.07131998961976327</x:v>
      </x:c>
      <x:c r="E17" s="116" t="n">
        <x:f>IF($B7=0,"",IFERROR(E7/$B7-1,""))</x:f>
        <x:v>-0.08458028346651503</x:v>
      </x:c>
      <x:c r="F17" s="116" t="n">
        <x:f>IF($B7=0,"",IFERROR(F7/$B7-1,""))</x:f>
        <x:v>-0.4011476185289914</x:v>
      </x:c>
      <x:c r="G17" s="116" t="n">
        <x:f>IF($B7=0,"",IFERROR(G7/$B7-1,""))</x:f>
        <x:v>-0.6344170260084091</x:v>
      </x:c>
    </x:row>
    <x:row r="18">
      <x:c r="A18" s="108" t="str">
        <x:v>Renewables &amp; Biofuels (% vs 1999)</x:v>
      </x:c>
      <x:c r="B18" s="126" t="n">
        <x:f>IF($B8=0,"",IFERROR(B8/$B8-1,""))</x:f>
        <x:v>0</x:v>
      </x:c>
      <x:c r="C18" s="126" t="n">
        <x:f>IF($B8=0,"",IFERROR(C8/$B8-1,""))</x:f>
        <x:v>0.13275362723233508</x:v>
      </x:c>
      <x:c r="D18" s="126" t="n">
        <x:f>IF($B8=0,"",IFERROR(D8/$B8-1,""))</x:f>
        <x:v>0.4629973643473324</x:v>
      </x:c>
      <x:c r="E18" s="126" t="n">
        <x:f>IF($B8=0,"",IFERROR(E8/$B8-1,""))</x:f>
        <x:v>1.1351134176741482</x:v>
      </x:c>
      <x:c r="F18" s="126" t="n">
        <x:f>IF($B8=0,"",IFERROR(F8/$B8-1,""))</x:f>
        <x:v>1.5185472692729092</x:v>
      </x:c>
      <x:c r="G18" s="126" t="n">
        <x:f>IF($B8=0,"",IFERROR(G8/$B8-1,""))</x:f>
        <x:v>2.420802325096868</x:v>
      </x:c>
    </x:row>
    <x:row r="19">
      <x:c r="A19" t="str">
        <x:v>Wind (% vs 1999)</x:v>
      </x:c>
      <x:c r="B19" s="116" t="n">
        <x:f>IF($B9=0,"",IFERROR(B9/$B9-1,""))</x:f>
        <x:v>0</x:v>
      </x:c>
      <x:c r="C19" s="116" t="n">
        <x:f>IF($B9=0,"",IFERROR(C9/$B9-1,""))</x:f>
        <x:v>3.2864313276336823</x:v>
      </x:c>
      <x:c r="D19" s="116" t="n">
        <x:f>IF($B9=0,"",IFERROR(D9/$B9-1,""))</x:f>
        <x:v>7.843823791884658</x:v>
      </x:c>
      <x:c r="E19" s="116" t="n">
        <x:f>IF($B9=0,"",IFERROR(E9/$B9-1,""))</x:f>
        <x:v>14.92140002156772</x:v>
      </x:c>
      <x:c r="F19" s="116" t="n">
        <x:f>IF($B9=0,"",IFERROR(F9/$B9-1,""))</x:f>
        <x:v>25.778518264434897</x:v>
      </x:c>
      <x:c r="G19" s="116" t="n">
        <x:f>IF($B9=0,"",IFERROR(G9/$B9-1,""))</x:f>
        <x:v>34.942561475745876</x:v>
      </x:c>
    </x:row>
    <x:row r="20">
      <x:c r="A20" s="108" t="str">
        <x:v>Solar Photovoltaic (% vs 1999)</x:v>
      </x:c>
      <x:c r="B20" s="126" t="n">
        <x:f>IF($B10=0,"",IFERROR(B10/$B10-1,""))</x:f>
        <x:v>0</x:v>
      </x:c>
      <x:c r="C20" s="126" t="n">
        <x:f>IF($B10=0,"",IFERROR(C10/$B10-1,""))</x:f>
        <x:v>7.00261746606019</x:v>
      </x:c>
      <x:c r="D20" s="126" t="n">
        <x:f>IF($B10=0,"",IFERROR(D10/$B10-1,""))</x:f>
        <x:v>160.01465780993706</x:v>
      </x:c>
      <x:c r="E20" s="126" t="n">
        <x:f>IF($B10=0,"",IFERROR(E10/$B10-1,""))</x:f>
        <x:v>1023.7660915996789</x:v>
      </x:c>
      <x:c r="F20" s="126" t="n">
        <x:f>IF($B10=0,"",IFERROR(F10/$B10-1,""))</x:f>
        <x:v>1354.5930712765091</x:v>
      </x:c>
      <x:c r="G20" s="126" t="n">
        <x:f>IF($B10=0,"",IFERROR(G10/$B10-1,""))</x:f>
        <x:v>3452.762275915822</x:v>
      </x:c>
    </x:row>
    <x:row r="21">
      <x:c r="A21" t="str">
        <x:v>Bioenergy (% vs 1999)</x:v>
      </x:c>
      <x:c r="B21" s="116" t="str">
        <x:f>IF($B11=0,"",IFERROR(B11/$B11-1,""))</x:f>
      </x:c>
      <x:c r="C21" s="116" t="str">
        <x:f>IF($B11=0,"",IFERROR(C11/$B11-1,""))</x:f>
      </x:c>
      <x:c r="D21" s="116" t="str">
        <x:f>IF($B11=0,"",IFERROR(D11/$B11-1,""))</x:f>
      </x:c>
      <x:c r="E21" s="116" t="str">
        <x:f>IF($B11=0,"",IFERROR(E11/$B11-1,""))</x:f>
      </x:c>
      <x:c r="F21" s="116" t="str">
        <x:f>IF($B11=0,"",IFERROR(F11/$B11-1,""))</x:f>
      </x:c>
      <x:c r="G21" s="116" t="str">
        <x:f>IF($B11=0,"",IFERROR(G11/$B11-1,""))</x:f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6eac02912db442e9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42" hidden="0" customWidth="1"/>
    <x:col min="4" max="4" width="34" hidden="0" customWidth="1"/>
    <x:col min="5" max="5" width="70" hidden="0" customWidth="1"/>
  </x:cols>
  <x:sheetData>
    <x:row r="1" ht="22" customHeight="1">
      <x:c r="A1" s="130" t="str">
        <x:v>Display label</x:v>
      </x:c>
      <x:c r="B1" s="130" t="str">
        <x:v>SIEC code</x:v>
      </x:c>
      <x:c r="C1" s="130" t="str">
        <x:v>Eurostat SIEC label</x:v>
      </x:c>
      <x:c r="D1" s="130" t="str">
        <x:v>Used in sheets</x:v>
      </x:c>
      <x:c r="E1" s="130" t="str">
        <x:v>Notes</x:v>
      </x:c>
    </x:row>
    <x:row r="2">
      <x:c r="A2" s="29" t="str">
        <x:v>TOTAL</x:v>
      </x:c>
      <x:c r="B2" s="29" t="str">
        <x:v>TOTAL</x:v>
      </x:c>
      <x:c r="C2" s="29" t="str">
        <x:v>Total production</x:v>
      </x:c>
      <x:c r="D2" s="29" t="str">
        <x:v>EU27, country breakdown, fuel mix/trend as applicable</x:v>
      </x:c>
      <x:c r="E2" s="29" t="str"/>
    </x:row>
    <x:row r="3">
      <x:c r="A3" s="29" t="str">
        <x:v>Nuclear</x:v>
      </x:c>
      <x:c r="B3" s="29" t="str">
        <x:v>N900H</x:v>
      </x:c>
      <x:c r="C3" s="29" t="str">
        <x:v>Nuclear heat</x:v>
      </x:c>
      <x:c r="D3" s="29" t="str">
        <x:v>EU27, country breakdown, fuel mix/trend as applicable</x:v>
      </x:c>
      <x:c r="E3" s="29" t="str"/>
    </x:row>
    <x:row r="4">
      <x:c r="A4" s="29" t="str">
        <x:v>Natural Gas</x:v>
      </x:c>
      <x:c r="B4" s="29" t="str">
        <x:v>G3000</x:v>
      </x:c>
      <x:c r="C4" s="29" t="str">
        <x:v>Natural gas</x:v>
      </x:c>
      <x:c r="D4" s="29" t="str">
        <x:v>EU27, country breakdown, fuel mix/trend as applicable</x:v>
      </x:c>
      <x:c r="E4" s="29" t="str"/>
    </x:row>
    <x:row r="5">
      <x:c r="A5" s="29" t="str">
        <x:v>Solid Fossil Fuels</x:v>
      </x:c>
      <x:c r="B5" s="29" t="str">
        <x:v>C0000X0350-0370</x:v>
      </x:c>
      <x:c r="C5" s="29" t="str">
        <x:v>Solid fossil fuels</x:v>
      </x:c>
      <x:c r="D5" s="29" t="str">
        <x:v>EU27, country breakdown, fuel mix/trend as applicable</x:v>
      </x:c>
      <x:c r="E5" s="29" t="str"/>
    </x:row>
    <x:row r="6">
      <x:c r="A6" s="29" t="str">
        <x:v>Lignite</x:v>
      </x:c>
      <x:c r="B6" s="29" t="str">
        <x:v>C0220</x:v>
      </x:c>
      <x:c r="C6" s="29" t="str">
        <x:v>Lignite</x:v>
      </x:c>
      <x:c r="D6" s="29" t="str">
        <x:v>EU27, country breakdown, fuel mix/trend as applicable</x:v>
      </x:c>
      <x:c r="E6" s="29" t="str"/>
    </x:row>
    <x:row r="7">
      <x:c r="A7" s="29" t="str">
        <x:v>Oil &amp; Petroleum excl. Biofuels</x:v>
      </x:c>
      <x:c r="B7" s="29" t="str">
        <x:v>O4000XBIO</x:v>
      </x:c>
      <x:c r="C7" s="29" t="str">
        <x:v>Oil and petroleum products excluding biofuels</x:v>
      </x:c>
      <x:c r="D7" s="29" t="str">
        <x:v>EU27, country breakdown, fuel mix/trend as applicable</x:v>
      </x:c>
      <x:c r="E7" s="29" t="str"/>
    </x:row>
    <x:row r="8">
      <x:c r="A8" s="29" t="str">
        <x:v>Renewables &amp; Biofuels</x:v>
      </x:c>
      <x:c r="B8" s="29" t="str">
        <x:v>RA000</x:v>
      </x:c>
      <x:c r="C8" s="29" t="str">
        <x:v>Renewables and biofuels</x:v>
      </x:c>
      <x:c r="D8" s="29" t="str">
        <x:v>EU27, country breakdown, fuel mix/trend as applicable</x:v>
      </x:c>
      <x:c r="E8" s="29" t="str"/>
    </x:row>
    <x:row r="9">
      <x:c r="A9" s="29" t="str">
        <x:v>Hydro</x:v>
      </x:c>
      <x:c r="B9" s="29" t="str">
        <x:v>RA100</x:v>
      </x:c>
      <x:c r="C9" s="29" t="str">
        <x:v>Hydro</x:v>
      </x:c>
      <x:c r="D9" s="29" t="str">
        <x:v>EU27, country breakdown, fuel mix/trend as applicable</x:v>
      </x:c>
      <x:c r="E9" s="29" t="str"/>
    </x:row>
    <x:row r="10">
      <x:c r="A10" s="29" t="str">
        <x:v>Wind</x:v>
      </x:c>
      <x:c r="B10" s="29" t="str">
        <x:v>RA300</x:v>
      </x:c>
      <x:c r="C10" s="29" t="str">
        <x:v>Wind</x:v>
      </x:c>
      <x:c r="D10" s="29" t="str">
        <x:v>EU27, country breakdown, fuel mix/trend as applicable</x:v>
      </x:c>
      <x:c r="E10" s="29" t="str"/>
    </x:row>
    <x:row r="11">
      <x:c r="A11" s="29" t="str">
        <x:v>Solar Thermal</x:v>
      </x:c>
      <x:c r="B11" s="29" t="str">
        <x:v>RA410</x:v>
      </x:c>
      <x:c r="C11" s="29" t="str">
        <x:v>Solar thermal</x:v>
      </x:c>
      <x:c r="D11" s="29" t="str">
        <x:v>EU27, country breakdown, fuel mix/trend as applicable</x:v>
      </x:c>
      <x:c r="E11" s="29" t="str">
        <x:v>Separated from solar photovoltaic to avoid conflating solar thermal with PV.</x:v>
      </x:c>
    </x:row>
    <x:row r="12">
      <x:c r="A12" s="29" t="str">
        <x:v>Solar Photovoltaic</x:v>
      </x:c>
      <x:c r="B12" s="29" t="str">
        <x:v>RA420</x:v>
      </x:c>
      <x:c r="C12" s="29" t="str">
        <x:v>Solar photovoltaic</x:v>
      </x:c>
      <x:c r="D12" s="29" t="str">
        <x:v>EU27, country breakdown, fuel mix/trend as applicable</x:v>
      </x:c>
      <x:c r="E12" s="29" t="str"/>
    </x:row>
    <x:row r="13">
      <x:c r="A13" s="29" t="str">
        <x:v>Bioenergy</x:v>
      </x:c>
      <x:c r="B13" s="29" t="str">
        <x:v>BIOE</x:v>
      </x:c>
      <x:c r="C13" s="29" t="str">
        <x:v>Bioenergy</x:v>
      </x:c>
      <x:c r="D13" s="29" t="str">
        <x:v>EU27, country breakdown, fuel mix/trend as applicable</x:v>
      </x:c>
      <x:c r="E13" s="29" t="str">
        <x:v>EU27_2020 aggregate series is not present in the uploaded TSV; country-level values are retained where reported.</x:v>
      </x:c>
    </x:row>
    <x:row r="14">
      <x:c r="A14" s="29" t="str">
        <x:v>Waste</x:v>
      </x:c>
      <x:c r="B14" s="29" t="str">
        <x:v>W6100_6220</x:v>
      </x:c>
      <x:c r="C14" s="29" t="str">
        <x:v>Waste - non-renewable and renewable</x:v>
      </x:c>
      <x:c r="D14" s="29" t="str">
        <x:v>EU27, country breakdown, fuel mix/trend as applicable</x:v>
      </x:c>
      <x:c r="E14" s="29" t="str"/>
    </x:row>
    <x:row r="15">
      <x:c r="A15" s="29" t="str">
        <x:v>Batteries</x:v>
      </x:c>
      <x:c r="B15" s="29" t="str">
        <x:v>BA100</x:v>
      </x:c>
      <x:c r="C15" s="29" t="str">
        <x:v>Batteries</x:v>
      </x:c>
      <x:c r="D15" s="29" t="str">
        <x:v>EU27, country breakdown, fuel mix/trend as applicable</x:v>
      </x:c>
      <x:c r="E15" s="29" t="str">
        <x:v>Code label is Batteries in the SIEC dictionary.</x:v>
      </x:c>
    </x:row>
    <x:row r="16">
      <x:c r="A16" s="29" t="str"/>
      <x:c r="B16" s="29" t="str"/>
      <x:c r="C16" s="29" t="str"/>
      <x:c r="D16" s="29" t="str"/>
      <x:c r="E16" s="29" t="str"/>
    </x:row>
    <x:row r="17">
      <x:c r="A17" s="29" t="str">
        <x:v>Source</x:v>
      </x:c>
      <x:c r="B17" s="29" t="str">
        <x:v>URL</x:v>
      </x:c>
      <x:c r="C17" s="29" t="str">
        <x:v>https://ec.europa.eu/eurostat/databrowser/product/page/NRG_BAL_PEH</x:v>
      </x:c>
      <x:c r="D17" s="29" t="str"/>
      <x:c r="E17" s="29" t="str"/>
    </x:row>
    <x:row r="18">
      <x:c r="A18" s="29" t="str">
        <x:v>Input file</x:v>
      </x:c>
      <x:c r="B18" s="29" t="str">
        <x:v>TSV</x:v>
      </x:c>
      <x:c r="C18" s="29" t="str">
        <x:v>estat_nrg_bal_peh.tsv</x:v>
      </x:c>
      <x:c r="D18" s="29" t="str"/>
      <x:c r="E18" s="29" t="str"/>
    </x:row>
  </x:sheetData>
  <x:pageMargins left="0.7" right="0.7" top="0.75" bottom="0.75" header="0.3" footer="0.3"/>
</x:worksheet>
</file>